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Inventory" sheetId="1" state="visible" r:id="rId3"/>
    <sheet name="Keyword Rankings" sheetId="2" state="visible" r:id="rId4"/>
    <sheet name="GSC Queries (Top 50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<sst xmlns="http://schemas.openxmlformats.org/spreadsheetml/2006/main" count="350" uniqueCount="227">
  <si>
    <t xml:space="preserve">No.</t>
  </si>
  <si>
    <t xml:space="preserve">URL Slug</t>
  </si>
  <si>
    <t xml:space="preserve">Title</t>
  </si>
  <si>
    <t xml:space="preserve">GSC Clicks (12mo)</t>
  </si>
  <si>
    <t xml:space="preserve">GSC Impressions (12mo)</t>
  </si>
  <si>
    <t xml:space="preserve">GSC Avg Position</t>
  </si>
  <si>
    <t xml:space="preserve">Ahrefs Traffic (Monthly)</t>
  </si>
  <si>
    <t xml:space="preserve">Ahrefs Referring Domains</t>
  </si>
  <si>
    <t xml:space="preserve">Ahrefs Keywords Count</t>
  </si>
  <si>
    <t xml:space="preserve">Ahrefs Top Keyword</t>
  </si>
  <si>
    <t xml:space="preserve">Top KW Volume</t>
  </si>
  <si>
    <t xml:space="preserve">Top KW Position</t>
  </si>
  <si>
    <t xml:space="preserve">GA4 Organic Views</t>
  </si>
  <si>
    <t xml:space="preserve">GA4 Direct Views</t>
  </si>
  <si>
    <t xml:space="preserve">GA4 Referral Views</t>
  </si>
  <si>
    <t xml:space="preserve">GA4 Social Views</t>
  </si>
  <si>
    <t xml:space="preserve">GA4 Paid Views</t>
  </si>
  <si>
    <t xml:space="preserve">GA4 Total Views</t>
  </si>
  <si>
    <t xml:space="preserve">Triage Status</t>
  </si>
  <si>
    <t xml:space="preserve">Value Tier</t>
  </si>
  <si>
    <t xml:space="preserve">Strategic Notes</t>
  </si>
  <si>
    <t xml:space="preserve">why-executive-comfort-is-the-new-productivity</t>
  </si>
  <si>
    <t xml:space="preserve">Why Executive Comfort Is the New Productivity</t>
  </si>
  <si>
    <t xml:space="preserve">Keep (business purpose)</t>
  </si>
  <si>
    <t xml:space="preserve">redefine-holiday-gifting-with-merryfair-ergonomic-chairs</t>
  </si>
  <si>
    <t xml:space="preserve">Redefine Holiday Gifting with Merryfair Ergonomic Chairs</t>
  </si>
  <si>
    <t xml:space="preserve">Optimize or consolidate</t>
  </si>
  <si>
    <t xml:space="preserve">gaming-chair-vs-office-chair-which-one-should-you-really-buy</t>
  </si>
  <si>
    <t xml:space="preserve">Gaming Chair vs Office Chair: Which Should You Really Buy?</t>
  </si>
  <si>
    <t xml:space="preserve">gaming chair vs office chair</t>
  </si>
  <si>
    <t xml:space="preserve">Keep, optimize</t>
  </si>
  <si>
    <t xml:space="preserve">playing-with-colours-workspace-decor-to-boost-inspiration</t>
  </si>
  <si>
    <t xml:space="preserve">Playing with Colours: Workspace Decor to Boost Inspiration</t>
  </si>
  <si>
    <t xml:space="preserve">cute-ergonomic-chairs-for-a-stylish-comfortable-cafe-experience</t>
  </si>
  <si>
    <t xml:space="preserve">Cute Ergonomic Chairs for a Stylish, Comfortable Café Experience</t>
  </si>
  <si>
    <t xml:space="preserve">eco-friendly-ergonomic-chairs-for-sustainable-offices-with-merryfair</t>
  </si>
  <si>
    <t xml:space="preserve">Eco-Friendly Ergonomic Chairs for Sustainable Offices</t>
  </si>
  <si>
    <t xml:space="preserve">sustainable office chairs</t>
  </si>
  <si>
    <t xml:space="preserve">Keep, protect</t>
  </si>
  <si>
    <t xml:space="preserve">the-ultimate-guide-to-ergonomic-chairs-must-have-features-and-best-types-for-every-workspace</t>
  </si>
  <si>
    <t xml:space="preserve">The Ultimate Guide to Ergonomic Chairs: Features &amp; Types Explained</t>
  </si>
  <si>
    <t xml:space="preserve">ergonomic chair</t>
  </si>
  <si>
    <t xml:space="preserve">be-a-true-gamer-with-ronin-the-best-gaming-chair-in-malaysia</t>
  </si>
  <si>
    <t xml:space="preserve">Be a True Gamer with Ronin: Best Gaming Chair in Malaysia</t>
  </si>
  <si>
    <t xml:space="preserve">best gaming chair</t>
  </si>
  <si>
    <t xml:space="preserve">office-chairs-to-sit-with-power-focus-and-intention</t>
  </si>
  <si>
    <t xml:space="preserve">5 World-Class Office Chairs to Sit with Power and Focus in 2025</t>
  </si>
  <si>
    <t xml:space="preserve">how-to-choose-the-best-ergonomic-chair-for-solo-movie-nights</t>
  </si>
  <si>
    <t xml:space="preserve">Best Chairs for Solo Movie Nights at Your Desk</t>
  </si>
  <si>
    <t xml:space="preserve">6-affordable-ergonomic-chairs-for-your-home-and-office</t>
  </si>
  <si>
    <t xml:space="preserve">6 Affordable Ergonomic Chairs for Your Home and Office</t>
  </si>
  <si>
    <t xml:space="preserve">best ergonomic chair malaysia</t>
  </si>
  <si>
    <t xml:space="preserve">how-to-choose-the-best-ergonomic-chair-in-malaysia</t>
  </si>
  <si>
    <t xml:space="preserve">Choosing the Right Ergonomic Chair: A Guide to the Best in Malaysia</t>
  </si>
  <si>
    <t xml:space="preserve">how-merryfair-redefines-ergonomics-for-gamers-in-malaysia</t>
  </si>
  <si>
    <t xml:space="preserve">How Merryfair Redefines Ergonomics for Gamers in Malaysia</t>
  </si>
  <si>
    <t xml:space="preserve">Review</t>
  </si>
  <si>
    <t xml:space="preserve">why-everyones-switching-to-ergonomics-swivel-chairs-in-2025</t>
  </si>
  <si>
    <t xml:space="preserve">Why Everyone's Switching to Ergonomic Swivel Chairs in 2025</t>
  </si>
  <si>
    <t xml:space="preserve">swivel chair</t>
  </si>
  <si>
    <t xml:space="preserve">upgrade-your-workspace-affordable-working-chairs-under-rm1000</t>
  </si>
  <si>
    <t xml:space="preserve">Best Budget Ergonomic Chairs Under RM1,000</t>
  </si>
  <si>
    <t xml:space="preserve">do-posture-correctors-work</t>
  </si>
  <si>
    <t xml:space="preserve">Do Posture Correctors Work? Why Your Chair Matters More</t>
  </si>
  <si>
    <t xml:space="preserve">office chair posture corrector</t>
  </si>
  <si>
    <t xml:space="preserve">Optimize</t>
  </si>
  <si>
    <t xml:space="preserve">best-ergonomic-office-chairs-every-budget</t>
  </si>
  <si>
    <t xml:space="preserve">Best Ergonomic Office Chairs for Every Budget (2026)</t>
  </si>
  <si>
    <t xml:space="preserve">best ergonomic office chairs</t>
  </si>
  <si>
    <t xml:space="preserve">office-chair-material-guide-malaysia</t>
  </si>
  <si>
    <t xml:space="preserve">Mesh vs Fabric vs Leather: Best Office Chair Material for Malaysia</t>
  </si>
  <si>
    <t xml:space="preserve">Noindex candidate</t>
  </si>
  <si>
    <t xml:space="preserve">how-to-choose-office-chair-body-fit-test</t>
  </si>
  <si>
    <t xml:space="preserve">How to Choose Office Chair for Your Body with 3-Layer Fit Test</t>
  </si>
  <si>
    <t xml:space="preserve">what-is-lumbar-support</t>
  </si>
  <si>
    <t xml:space="preserve">What Is Lumbar Support?</t>
  </si>
  <si>
    <t xml:space="preserve">how-to-know-when-its-time-for-an-ergonomic-chair-upgrade</t>
  </si>
  <si>
    <t xml:space="preserve">5 Signs You Need An Ergonomic Chair Upgrade</t>
  </si>
  <si>
    <t xml:space="preserve">the-role-of-ergonomic-office-chairs-in-preventing-back-pain</t>
  </si>
  <si>
    <t xml:space="preserve">The Role of Ergonomic Office Chairs in Preventing Back Pain</t>
  </si>
  <si>
    <t xml:space="preserve">the-physical-benefits-of-ergonomics-why-it-matters-for-your-health</t>
  </si>
  <si>
    <t xml:space="preserve">Benefits of Ergonomics: What It Actually Does to Your Body</t>
  </si>
  <si>
    <t xml:space="preserve">effects-of-poor-sitting-posture-and-how-ergonomics-can-help</t>
  </si>
  <si>
    <t xml:space="preserve">Effects of Poor Sitting Posture and How Ergonomics Can Help</t>
  </si>
  <si>
    <t xml:space="preserve">best-study-chairs-students-guide</t>
  </si>
  <si>
    <t xml:space="preserve">Best Study Chairs: Student's Guide</t>
  </si>
  <si>
    <t xml:space="preserve">office-chair-tilt-mechanism-guide</t>
  </si>
  <si>
    <t xml:space="preserve">Office Chair Tilt Mechanism Guide</t>
  </si>
  <si>
    <t xml:space="preserve">TOTALS</t>
  </si>
  <si>
    <t xml:space="preserve">Keyword</t>
  </si>
  <si>
    <t xml:space="preserve">Country</t>
  </si>
  <si>
    <t xml:space="preserve">Volume</t>
  </si>
  <si>
    <t xml:space="preserve">KD</t>
  </si>
  <si>
    <t xml:space="preserve">Position</t>
  </si>
  <si>
    <t xml:space="preserve">Traffic</t>
  </si>
  <si>
    <t xml:space="preserve">Intent</t>
  </si>
  <si>
    <t xml:space="preserve">IN</t>
  </si>
  <si>
    <t xml:space="preserve">I</t>
  </si>
  <si>
    <t xml:space="preserve">MY</t>
  </si>
  <si>
    <t xml:space="preserve">I/C/T</t>
  </si>
  <si>
    <t xml:space="preserve">I/C</t>
  </si>
  <si>
    <t xml:space="preserve">best ergonomic chair</t>
  </si>
  <si>
    <t xml:space="preserve">ergonomic chair malaysia</t>
  </si>
  <si>
    <t xml:space="preserve">US</t>
  </si>
  <si>
    <t xml:space="preserve">malaysia ergonomic chair</t>
  </si>
  <si>
    <t xml:space="preserve">ergonomic chair vs gaming chair</t>
  </si>
  <si>
    <t xml:space="preserve">office chair ergonomic</t>
  </si>
  <si>
    <t xml:space="preserve">ID</t>
  </si>
  <si>
    <t xml:space="preserve">best office chair malaysia</t>
  </si>
  <si>
    <t xml:space="preserve">comfortable chair</t>
  </si>
  <si>
    <t xml:space="preserve">chair ergonomics guide</t>
  </si>
  <si>
    <t xml:space="preserve">ergonomic office</t>
  </si>
  <si>
    <t xml:space="preserve">office chair vs gaming chair</t>
  </si>
  <si>
    <t xml:space="preserve">NZ</t>
  </si>
  <si>
    <t xml:space="preserve">ergonomic chair features</t>
  </si>
  <si>
    <t xml:space="preserve">GB</t>
  </si>
  <si>
    <t xml:space="preserve">ergonomic chair means</t>
  </si>
  <si>
    <t xml:space="preserve">office chair cheap</t>
  </si>
  <si>
    <t xml:space="preserve">C/T</t>
  </si>
  <si>
    <t xml:space="preserve">ergonomic office chair</t>
  </si>
  <si>
    <t xml:space="preserve">gaming vs office chair</t>
  </si>
  <si>
    <t xml:space="preserve">RU</t>
  </si>
  <si>
    <t xml:space="preserve">what does ergonomic chair mean</t>
  </si>
  <si>
    <t xml:space="preserve">ergonomic seating</t>
  </si>
  <si>
    <t xml:space="preserve">what is ergonomic furniture</t>
  </si>
  <si>
    <t xml:space="preserve">Query</t>
  </si>
  <si>
    <t xml:space="preserve">Clicks</t>
  </si>
  <si>
    <t xml:space="preserve">Impressions</t>
  </si>
  <si>
    <t xml:space="preserve">CTR</t>
  </si>
  <si>
    <t xml:space="preserve">merryfair</t>
  </si>
  <si>
    <t xml:space="preserve">45.46%</t>
  </si>
  <si>
    <t xml:space="preserve">merryfair chair</t>
  </si>
  <si>
    <t xml:space="preserve">43.96%</t>
  </si>
  <si>
    <t xml:space="preserve">merryfair chairs</t>
  </si>
  <si>
    <t xml:space="preserve">50.08%</t>
  </si>
  <si>
    <t xml:space="preserve">merryfair office chair</t>
  </si>
  <si>
    <t xml:space="preserve">42.62%</t>
  </si>
  <si>
    <t xml:space="preserve">merryfair wau</t>
  </si>
  <si>
    <t xml:space="preserve">26.78%</t>
  </si>
  <si>
    <t xml:space="preserve">merry fair</t>
  </si>
  <si>
    <t xml:space="preserve">41.98%</t>
  </si>
  <si>
    <t xml:space="preserve">merry fair office chair</t>
  </si>
  <si>
    <t xml:space="preserve">40.68%</t>
  </si>
  <si>
    <t xml:space="preserve">merryfair chair system sdn bhd</t>
  </si>
  <si>
    <t xml:space="preserve">25.51%</t>
  </si>
  <si>
    <t xml:space="preserve">merryfair trading sdn bhd</t>
  </si>
  <si>
    <t xml:space="preserve">38.73%</t>
  </si>
  <si>
    <t xml:space="preserve">merryfair anggun</t>
  </si>
  <si>
    <t xml:space="preserve">27.2%</t>
  </si>
  <si>
    <t xml:space="preserve">merryfair furniture</t>
  </si>
  <si>
    <t xml:space="preserve">58.45%</t>
  </si>
  <si>
    <t xml:space="preserve">merryfair chair price</t>
  </si>
  <si>
    <t xml:space="preserve">23.7%</t>
  </si>
  <si>
    <t xml:space="preserve">merryfair wau 2</t>
  </si>
  <si>
    <t xml:space="preserve">15.21%</t>
  </si>
  <si>
    <t xml:space="preserve">merryfair fulkrum</t>
  </si>
  <si>
    <t xml:space="preserve">31.32%</t>
  </si>
  <si>
    <t xml:space="preserve">merryfair office chairs</t>
  </si>
  <si>
    <t xml:space="preserve">35.9%</t>
  </si>
  <si>
    <t xml:space="preserve">merry fair chair</t>
  </si>
  <si>
    <t xml:space="preserve">36.83%</t>
  </si>
  <si>
    <t xml:space="preserve">merry fair chair price</t>
  </si>
  <si>
    <t xml:space="preserve">31.44%</t>
  </si>
  <si>
    <t xml:space="preserve">merryfair chair price in india</t>
  </si>
  <si>
    <t xml:space="preserve">25.73%</t>
  </si>
  <si>
    <t xml:space="preserve">merryfair chair catalogue</t>
  </si>
  <si>
    <t xml:space="preserve">43.75%</t>
  </si>
  <si>
    <t xml:space="preserve">marryfair</t>
  </si>
  <si>
    <t xml:space="preserve">25.43%</t>
  </si>
  <si>
    <t xml:space="preserve">mayfair chairs</t>
  </si>
  <si>
    <t xml:space="preserve">13.92%</t>
  </si>
  <si>
    <t xml:space="preserve">merryfair wau chair</t>
  </si>
  <si>
    <t xml:space="preserve">31.12%</t>
  </si>
  <si>
    <t xml:space="preserve">merryfair ergonomic chair</t>
  </si>
  <si>
    <t xml:space="preserve">39.86%</t>
  </si>
  <si>
    <t xml:space="preserve">merryfair tune</t>
  </si>
  <si>
    <t xml:space="preserve">31.59%</t>
  </si>
  <si>
    <t xml:space="preserve">merryfair chairs india price list</t>
  </si>
  <si>
    <t xml:space="preserve">27.86%</t>
  </si>
  <si>
    <t xml:space="preserve">wau chair</t>
  </si>
  <si>
    <t xml:space="preserve">18.45%</t>
  </si>
  <si>
    <t xml:space="preserve">merryfair chair india</t>
  </si>
  <si>
    <t xml:space="preserve">37.05%</t>
  </si>
  <si>
    <t xml:space="preserve">merryfair malaysia</t>
  </si>
  <si>
    <t xml:space="preserve">42.86%</t>
  </si>
  <si>
    <t xml:space="preserve">merryfair office chair price</t>
  </si>
  <si>
    <t xml:space="preserve">26.28%</t>
  </si>
  <si>
    <t xml:space="preserve">merryfair chairs india</t>
  </si>
  <si>
    <t xml:space="preserve">38.05%</t>
  </si>
  <si>
    <t xml:space="preserve">merryfair reya</t>
  </si>
  <si>
    <t xml:space="preserve">20.98%</t>
  </si>
  <si>
    <t xml:space="preserve">merryfair office chair india</t>
  </si>
  <si>
    <t xml:space="preserve">37.72%</t>
  </si>
  <si>
    <t xml:space="preserve">merryfair singapore</t>
  </si>
  <si>
    <t xml:space="preserve">52.63%</t>
  </si>
  <si>
    <t xml:space="preserve">marry fair</t>
  </si>
  <si>
    <t xml:space="preserve">23.79%</t>
  </si>
  <si>
    <t xml:space="preserve">merryfair chair system</t>
  </si>
  <si>
    <t xml:space="preserve">44.82%</t>
  </si>
  <si>
    <t xml:space="preserve">merryfair fulkrum chair</t>
  </si>
  <si>
    <t xml:space="preserve">40.46%</t>
  </si>
  <si>
    <t xml:space="preserve">merry fair chairs</t>
  </si>
  <si>
    <t xml:space="preserve">47.16%</t>
  </si>
  <si>
    <t xml:space="preserve">merryfair chair price in pakistan</t>
  </si>
  <si>
    <t xml:space="preserve">1.93%</t>
  </si>
  <si>
    <t xml:space="preserve">mayfair chair</t>
  </si>
  <si>
    <t xml:space="preserve">12.65%</t>
  </si>
  <si>
    <t xml:space="preserve">merryfair meru</t>
  </si>
  <si>
    <t xml:space="preserve">18.38%</t>
  </si>
  <si>
    <t xml:space="preserve">fulkrum chair</t>
  </si>
  <si>
    <t xml:space="preserve">19.31%</t>
  </si>
  <si>
    <t xml:space="preserve">merryfair india</t>
  </si>
  <si>
    <t xml:space="preserve">30.48%</t>
  </si>
  <si>
    <t xml:space="preserve">merryfair marketing sdn bhd</t>
  </si>
  <si>
    <t xml:space="preserve">38.93%</t>
  </si>
  <si>
    <t xml:space="preserve">merryfair showroom</t>
  </si>
  <si>
    <t xml:space="preserve">30.77%</t>
  </si>
  <si>
    <t xml:space="preserve">mayfair office chair</t>
  </si>
  <si>
    <t xml:space="preserve">17.73%</t>
  </si>
  <si>
    <t xml:space="preserve">wau 2</t>
  </si>
  <si>
    <t xml:space="preserve">5.46%</t>
  </si>
  <si>
    <t xml:space="preserve">maryfair</t>
  </si>
  <si>
    <t xml:space="preserve">9.7%</t>
  </si>
  <si>
    <t xml:space="preserve">merryfair apollo</t>
  </si>
  <si>
    <t xml:space="preserve">21.76%</t>
  </si>
  <si>
    <t xml:space="preserve">wau 2 chair</t>
  </si>
  <si>
    <t xml:space="preserve">16.7%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</si>
</sst>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8"/>
      <name val="Arial"/>
      <family val="0"/>
      <charset val="1"/>
    </font>
    <font>
      <b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FCE4EC"/>
      </patternFill>
    </fill>
    <fill>
      <patternFill patternType="solid">
        <fgColor rgb="FFD6E4F0"/>
        <bgColor rgb="FFD9D9D9"/>
      </patternFill>
    </fill>
    <fill>
      <patternFill patternType="solid">
        <fgColor rgb="FFFCE4EC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double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45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9" min="6" style="0" width="10"/>
    <col collapsed="false" customWidth="true" hidden="false" outlineLevel="0" max="10" min="10" style="0" width="28"/>
    <col collapsed="false" customWidth="true" hidden="false" outlineLevel="0" max="12" min="11" style="0" width="9"/>
    <col collapsed="false" customWidth="true" hidden="false" outlineLevel="0" max="18" min="13" style="0" width="10"/>
    <col collapsed="false" customWidth="true" hidden="false" outlineLevel="0" max="19" min="19" style="0" width="20"/>
    <col collapsed="false" customWidth="true" hidden="false" outlineLevel="0" max="20" min="20" style="0" width="12"/>
    <col collapsed="false" customWidth="true" hidden="false" outlineLevel="0" max="21" min="21" style="0" width="30"/>
  </cols>
  <sheetData>
    <row r="1" customFormat="false" ht="3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2" t="n">
        <v>1</v>
      </c>
      <c r="B2" s="3" t="s">
        <v>21</v>
      </c>
      <c r="C2" s="2" t="s">
        <v>22</v>
      </c>
      <c r="D2" s="2" t="n">
        <v>0</v>
      </c>
      <c r="E2" s="2" t="n">
        <v>144</v>
      </c>
      <c r="F2" s="2" t="n">
        <v>6.1</v>
      </c>
      <c r="G2" s="2" t="n">
        <v>0</v>
      </c>
      <c r="H2" s="2" t="n">
        <v>0</v>
      </c>
      <c r="I2" s="2" t="n">
        <v>0</v>
      </c>
      <c r="J2" s="2"/>
      <c r="K2" s="2"/>
      <c r="L2" s="2"/>
      <c r="M2" s="2" t="n">
        <v>28</v>
      </c>
      <c r="N2" s="2" t="n">
        <v>44</v>
      </c>
      <c r="O2" s="2" t="n">
        <v>6</v>
      </c>
      <c r="P2" s="2" t="n">
        <v>1</v>
      </c>
      <c r="Q2" s="2" t="n">
        <v>0</v>
      </c>
      <c r="R2" s="4" t="n">
        <f aca="false">SUM(M2:Q2)</f>
        <v>79</v>
      </c>
      <c r="S2" s="5" t="s">
        <v>23</v>
      </c>
      <c r="T2" s="2"/>
      <c r="U2" s="2"/>
    </row>
    <row r="3" customFormat="false" ht="15" hidden="false" customHeight="false" outlineLevel="0" collapsed="false">
      <c r="A3" s="2" t="n">
        <v>2</v>
      </c>
      <c r="B3" s="3" t="s">
        <v>24</v>
      </c>
      <c r="C3" s="2" t="s">
        <v>25</v>
      </c>
      <c r="D3" s="2" t="n">
        <v>1</v>
      </c>
      <c r="E3" s="2" t="n">
        <v>39</v>
      </c>
      <c r="F3" s="2" t="n">
        <v>7.6</v>
      </c>
      <c r="G3" s="2" t="n">
        <v>0</v>
      </c>
      <c r="H3" s="2" t="n">
        <v>0</v>
      </c>
      <c r="I3" s="2" t="n">
        <v>0</v>
      </c>
      <c r="J3" s="2"/>
      <c r="K3" s="2"/>
      <c r="L3" s="2"/>
      <c r="M3" s="2" t="n">
        <v>23</v>
      </c>
      <c r="N3" s="2" t="n">
        <v>22</v>
      </c>
      <c r="O3" s="2" t="n">
        <v>5</v>
      </c>
      <c r="P3" s="2" t="n">
        <v>1</v>
      </c>
      <c r="Q3" s="2" t="n">
        <v>0</v>
      </c>
      <c r="R3" s="4" t="n">
        <f aca="false">SUM(M3:Q3)</f>
        <v>51</v>
      </c>
      <c r="S3" s="6" t="s">
        <v>26</v>
      </c>
      <c r="T3" s="2"/>
      <c r="U3" s="2"/>
    </row>
    <row r="4" customFormat="false" ht="15" hidden="false" customHeight="false" outlineLevel="0" collapsed="false">
      <c r="A4" s="2" t="n">
        <v>3</v>
      </c>
      <c r="B4" s="3" t="s">
        <v>27</v>
      </c>
      <c r="C4" s="2" t="s">
        <v>28</v>
      </c>
      <c r="D4" s="2" t="n">
        <v>27</v>
      </c>
      <c r="E4" s="2" t="n">
        <v>21236</v>
      </c>
      <c r="F4" s="2" t="n">
        <v>23</v>
      </c>
      <c r="G4" s="2" t="n">
        <v>23</v>
      </c>
      <c r="H4" s="2" t="n">
        <v>1</v>
      </c>
      <c r="I4" s="2" t="n">
        <v>4</v>
      </c>
      <c r="J4" s="2" t="s">
        <v>29</v>
      </c>
      <c r="K4" s="2" t="n">
        <v>200</v>
      </c>
      <c r="L4" s="2" t="n">
        <v>4</v>
      </c>
      <c r="M4" s="2" t="n">
        <v>177</v>
      </c>
      <c r="N4" s="2" t="n">
        <v>93</v>
      </c>
      <c r="O4" s="2" t="n">
        <v>11</v>
      </c>
      <c r="P4" s="2" t="n">
        <v>2</v>
      </c>
      <c r="Q4" s="2" t="n">
        <v>0</v>
      </c>
      <c r="R4" s="4" t="n">
        <f aca="false">SUM(M4:Q4)</f>
        <v>283</v>
      </c>
      <c r="S4" s="5" t="s">
        <v>30</v>
      </c>
      <c r="T4" s="2"/>
      <c r="U4" s="2"/>
    </row>
    <row r="5" customFormat="false" ht="15" hidden="false" customHeight="false" outlineLevel="0" collapsed="false">
      <c r="A5" s="2" t="n">
        <v>4</v>
      </c>
      <c r="B5" s="3" t="s">
        <v>31</v>
      </c>
      <c r="C5" s="2" t="s">
        <v>32</v>
      </c>
      <c r="D5" s="2" t="n">
        <v>2</v>
      </c>
      <c r="E5" s="2" t="n">
        <v>279</v>
      </c>
      <c r="F5" s="2" t="n">
        <v>15.1</v>
      </c>
      <c r="G5" s="2" t="n">
        <v>0</v>
      </c>
      <c r="H5" s="2" t="n">
        <v>0</v>
      </c>
      <c r="I5" s="2" t="n">
        <v>0</v>
      </c>
      <c r="J5" s="2"/>
      <c r="K5" s="2"/>
      <c r="L5" s="2"/>
      <c r="M5" s="2" t="n">
        <v>74</v>
      </c>
      <c r="N5" s="2" t="n">
        <v>37</v>
      </c>
      <c r="O5" s="2" t="n">
        <v>1</v>
      </c>
      <c r="P5" s="2" t="n">
        <v>1</v>
      </c>
      <c r="Q5" s="2" t="n">
        <v>8</v>
      </c>
      <c r="R5" s="4" t="n">
        <f aca="false">SUM(M5:Q5)</f>
        <v>121</v>
      </c>
      <c r="S5" s="6" t="s">
        <v>26</v>
      </c>
      <c r="T5" s="2"/>
      <c r="U5" s="2"/>
    </row>
    <row r="6" customFormat="false" ht="15" hidden="false" customHeight="false" outlineLevel="0" collapsed="false">
      <c r="A6" s="2" t="n">
        <v>5</v>
      </c>
      <c r="B6" s="3" t="s">
        <v>33</v>
      </c>
      <c r="C6" s="2" t="s">
        <v>34</v>
      </c>
      <c r="D6" s="2" t="n">
        <v>23</v>
      </c>
      <c r="E6" s="2" t="n">
        <v>2752</v>
      </c>
      <c r="F6" s="2" t="n">
        <v>11.3</v>
      </c>
      <c r="G6" s="2" t="n">
        <v>0</v>
      </c>
      <c r="H6" s="2" t="n">
        <v>0</v>
      </c>
      <c r="I6" s="2" t="n">
        <v>0</v>
      </c>
      <c r="J6" s="2"/>
      <c r="K6" s="2"/>
      <c r="L6" s="2"/>
      <c r="M6" s="2" t="n">
        <v>128</v>
      </c>
      <c r="N6" s="2" t="n">
        <v>46</v>
      </c>
      <c r="O6" s="2" t="n">
        <v>4</v>
      </c>
      <c r="P6" s="2" t="n">
        <v>0</v>
      </c>
      <c r="Q6" s="2" t="n">
        <v>1</v>
      </c>
      <c r="R6" s="4" t="n">
        <f aca="false">SUM(M6:Q6)</f>
        <v>179</v>
      </c>
      <c r="S6" s="5" t="s">
        <v>30</v>
      </c>
      <c r="T6" s="2"/>
      <c r="U6" s="2"/>
    </row>
    <row r="7" customFormat="false" ht="15" hidden="false" customHeight="false" outlineLevel="0" collapsed="false">
      <c r="A7" s="2" t="n">
        <v>6</v>
      </c>
      <c r="B7" s="3" t="s">
        <v>35</v>
      </c>
      <c r="C7" s="2" t="s">
        <v>36</v>
      </c>
      <c r="D7" s="2" t="n">
        <v>115</v>
      </c>
      <c r="E7" s="2" t="n">
        <v>20956</v>
      </c>
      <c r="F7" s="2" t="n">
        <v>21.5</v>
      </c>
      <c r="G7" s="2" t="n">
        <v>2</v>
      </c>
      <c r="H7" s="2" t="n">
        <v>0</v>
      </c>
      <c r="I7" s="2" t="n">
        <v>1</v>
      </c>
      <c r="J7" s="2" t="s">
        <v>37</v>
      </c>
      <c r="K7" s="2" t="n">
        <v>60</v>
      </c>
      <c r="L7" s="2" t="n">
        <v>8</v>
      </c>
      <c r="M7" s="2" t="n">
        <v>244</v>
      </c>
      <c r="N7" s="2" t="n">
        <v>44</v>
      </c>
      <c r="O7" s="2" t="n">
        <v>27</v>
      </c>
      <c r="P7" s="2" t="n">
        <v>1</v>
      </c>
      <c r="Q7" s="2" t="n">
        <v>0</v>
      </c>
      <c r="R7" s="4" t="n">
        <f aca="false">SUM(M7:Q7)</f>
        <v>316</v>
      </c>
      <c r="S7" s="5" t="s">
        <v>38</v>
      </c>
      <c r="T7" s="2"/>
      <c r="U7" s="2"/>
    </row>
    <row r="8" customFormat="false" ht="15" hidden="false" customHeight="false" outlineLevel="0" collapsed="false">
      <c r="A8" s="2" t="n">
        <v>7</v>
      </c>
      <c r="B8" s="3" t="s">
        <v>39</v>
      </c>
      <c r="C8" s="2" t="s">
        <v>40</v>
      </c>
      <c r="D8" s="2" t="n">
        <v>137</v>
      </c>
      <c r="E8" s="2" t="n">
        <v>36901</v>
      </c>
      <c r="F8" s="2" t="n">
        <v>23.5</v>
      </c>
      <c r="G8" s="2" t="n">
        <v>6</v>
      </c>
      <c r="H8" s="2" t="n">
        <v>1</v>
      </c>
      <c r="I8" s="2" t="n">
        <v>8</v>
      </c>
      <c r="J8" s="2" t="s">
        <v>41</v>
      </c>
      <c r="K8" s="2" t="n">
        <v>1100</v>
      </c>
      <c r="L8" s="2" t="n">
        <v>17</v>
      </c>
      <c r="M8" s="2" t="n">
        <v>727</v>
      </c>
      <c r="N8" s="2" t="n">
        <v>77</v>
      </c>
      <c r="O8" s="2" t="n">
        <v>11</v>
      </c>
      <c r="P8" s="2" t="n">
        <v>0</v>
      </c>
      <c r="Q8" s="2" t="n">
        <v>1</v>
      </c>
      <c r="R8" s="4" t="n">
        <f aca="false">SUM(M8:Q8)</f>
        <v>816</v>
      </c>
      <c r="S8" s="5" t="s">
        <v>38</v>
      </c>
      <c r="T8" s="2"/>
      <c r="U8" s="2"/>
    </row>
    <row r="9" customFormat="false" ht="15" hidden="false" customHeight="false" outlineLevel="0" collapsed="false">
      <c r="A9" s="2" t="n">
        <v>8</v>
      </c>
      <c r="B9" s="3" t="s">
        <v>42</v>
      </c>
      <c r="C9" s="2" t="s">
        <v>43</v>
      </c>
      <c r="D9" s="2" t="n">
        <v>38</v>
      </c>
      <c r="E9" s="2" t="n">
        <v>7609</v>
      </c>
      <c r="F9" s="2" t="n">
        <v>22.1</v>
      </c>
      <c r="G9" s="2" t="n">
        <v>0</v>
      </c>
      <c r="H9" s="2" t="n">
        <v>0</v>
      </c>
      <c r="I9" s="2" t="n">
        <v>1</v>
      </c>
      <c r="J9" s="2" t="s">
        <v>44</v>
      </c>
      <c r="K9" s="2" t="n">
        <v>90</v>
      </c>
      <c r="L9" s="2" t="n">
        <v>41</v>
      </c>
      <c r="M9" s="2" t="n">
        <v>78</v>
      </c>
      <c r="N9" s="2" t="n">
        <v>26</v>
      </c>
      <c r="O9" s="2" t="n">
        <v>4</v>
      </c>
      <c r="P9" s="2" t="n">
        <v>0</v>
      </c>
      <c r="Q9" s="2" t="n">
        <v>0</v>
      </c>
      <c r="R9" s="4" t="n">
        <f aca="false">SUM(M9:Q9)</f>
        <v>108</v>
      </c>
      <c r="S9" s="5" t="s">
        <v>30</v>
      </c>
      <c r="T9" s="2"/>
      <c r="U9" s="2"/>
    </row>
    <row r="10" customFormat="false" ht="15" hidden="false" customHeight="false" outlineLevel="0" collapsed="false">
      <c r="A10" s="2" t="n">
        <v>9</v>
      </c>
      <c r="B10" s="3" t="s">
        <v>45</v>
      </c>
      <c r="C10" s="2" t="s">
        <v>46</v>
      </c>
      <c r="D10" s="2" t="n">
        <v>21</v>
      </c>
      <c r="E10" s="2" t="n">
        <v>2599</v>
      </c>
      <c r="F10" s="2" t="n">
        <v>8.1</v>
      </c>
      <c r="G10" s="2" t="n">
        <v>0</v>
      </c>
      <c r="H10" s="2" t="n">
        <v>0</v>
      </c>
      <c r="I10" s="2" t="n">
        <v>0</v>
      </c>
      <c r="J10" s="2"/>
      <c r="K10" s="2"/>
      <c r="L10" s="2"/>
      <c r="M10" s="2" t="n">
        <v>36</v>
      </c>
      <c r="N10" s="2" t="n">
        <v>35</v>
      </c>
      <c r="O10" s="2" t="n">
        <v>0</v>
      </c>
      <c r="P10" s="2" t="n">
        <v>0</v>
      </c>
      <c r="Q10" s="2" t="n">
        <v>0</v>
      </c>
      <c r="R10" s="4" t="n">
        <f aca="false">SUM(M10:Q10)</f>
        <v>71</v>
      </c>
      <c r="S10" s="5" t="s">
        <v>30</v>
      </c>
      <c r="T10" s="2"/>
      <c r="U10" s="2"/>
    </row>
    <row r="11" customFormat="false" ht="15" hidden="false" customHeight="false" outlineLevel="0" collapsed="false">
      <c r="A11" s="2" t="n">
        <v>10</v>
      </c>
      <c r="B11" s="3" t="s">
        <v>47</v>
      </c>
      <c r="C11" s="2" t="s">
        <v>48</v>
      </c>
      <c r="D11" s="2" t="n">
        <v>33</v>
      </c>
      <c r="E11" s="2" t="n">
        <v>3236</v>
      </c>
      <c r="F11" s="2" t="n">
        <v>8.7</v>
      </c>
      <c r="G11" s="2" t="n">
        <v>0</v>
      </c>
      <c r="H11" s="2" t="n">
        <v>0</v>
      </c>
      <c r="I11" s="2" t="n">
        <v>0</v>
      </c>
      <c r="J11" s="2"/>
      <c r="K11" s="2"/>
      <c r="L11" s="2"/>
      <c r="M11" s="2" t="n">
        <v>81</v>
      </c>
      <c r="N11" s="2" t="n">
        <v>38</v>
      </c>
      <c r="O11" s="2" t="n">
        <v>3</v>
      </c>
      <c r="P11" s="2" t="n">
        <v>3</v>
      </c>
      <c r="Q11" s="2" t="n">
        <v>0</v>
      </c>
      <c r="R11" s="4" t="n">
        <f aca="false">SUM(M11:Q11)</f>
        <v>125</v>
      </c>
      <c r="S11" s="5" t="s">
        <v>30</v>
      </c>
      <c r="T11" s="2"/>
      <c r="U11" s="2"/>
    </row>
    <row r="12" customFormat="false" ht="15" hidden="false" customHeight="false" outlineLevel="0" collapsed="false">
      <c r="A12" s="2" t="n">
        <v>11</v>
      </c>
      <c r="B12" s="3" t="s">
        <v>49</v>
      </c>
      <c r="C12" s="2" t="s">
        <v>50</v>
      </c>
      <c r="D12" s="2" t="n">
        <v>393</v>
      </c>
      <c r="E12" s="2" t="n">
        <v>43109</v>
      </c>
      <c r="F12" s="2" t="n">
        <v>13.5</v>
      </c>
      <c r="G12" s="2" t="n">
        <v>1</v>
      </c>
      <c r="H12" s="2" t="n">
        <v>0</v>
      </c>
      <c r="I12" s="2" t="n">
        <v>2</v>
      </c>
      <c r="J12" s="2" t="s">
        <v>51</v>
      </c>
      <c r="K12" s="2" t="n">
        <v>250</v>
      </c>
      <c r="L12" s="2" t="n">
        <v>23</v>
      </c>
      <c r="M12" s="2" t="n">
        <v>567</v>
      </c>
      <c r="N12" s="2" t="n">
        <v>92</v>
      </c>
      <c r="O12" s="2" t="n">
        <v>9</v>
      </c>
      <c r="P12" s="2" t="n">
        <v>2</v>
      </c>
      <c r="Q12" s="2" t="n">
        <v>2</v>
      </c>
      <c r="R12" s="4" t="n">
        <f aca="false">SUM(M12:Q12)</f>
        <v>672</v>
      </c>
      <c r="S12" s="5" t="s">
        <v>38</v>
      </c>
      <c r="T12" s="2"/>
      <c r="U12" s="2"/>
    </row>
    <row r="13" customFormat="false" ht="15" hidden="false" customHeight="false" outlineLevel="0" collapsed="false">
      <c r="A13" s="2" t="n">
        <v>12</v>
      </c>
      <c r="B13" s="3" t="s">
        <v>52</v>
      </c>
      <c r="C13" s="2" t="s">
        <v>53</v>
      </c>
      <c r="D13" s="2" t="n">
        <v>351</v>
      </c>
      <c r="E13" s="2" t="n">
        <v>50140</v>
      </c>
      <c r="F13" s="2" t="n">
        <v>13.4</v>
      </c>
      <c r="G13" s="2" t="n">
        <v>37</v>
      </c>
      <c r="H13" s="2" t="n">
        <v>0</v>
      </c>
      <c r="I13" s="2" t="n">
        <v>11</v>
      </c>
      <c r="J13" s="2" t="s">
        <v>51</v>
      </c>
      <c r="K13" s="2" t="n">
        <v>250</v>
      </c>
      <c r="L13" s="2" t="n">
        <v>8</v>
      </c>
      <c r="M13" s="2" t="n">
        <v>550</v>
      </c>
      <c r="N13" s="2" t="n">
        <v>60</v>
      </c>
      <c r="O13" s="2" t="n">
        <v>5</v>
      </c>
      <c r="P13" s="2" t="n">
        <v>8</v>
      </c>
      <c r="Q13" s="2" t="n">
        <v>1</v>
      </c>
      <c r="R13" s="4" t="n">
        <f aca="false">SUM(M13:Q13)</f>
        <v>624</v>
      </c>
      <c r="S13" s="5" t="s">
        <v>38</v>
      </c>
      <c r="T13" s="2"/>
      <c r="U13" s="2"/>
    </row>
    <row r="14" customFormat="false" ht="15" hidden="false" customHeight="false" outlineLevel="0" collapsed="false">
      <c r="A14" s="2" t="n">
        <v>13</v>
      </c>
      <c r="B14" s="3" t="s">
        <v>54</v>
      </c>
      <c r="C14" s="2" t="s">
        <v>55</v>
      </c>
      <c r="D14" s="2" t="n">
        <v>0</v>
      </c>
      <c r="E14" s="2" t="n">
        <v>570</v>
      </c>
      <c r="F14" s="2" t="n">
        <v>36.5</v>
      </c>
      <c r="G14" s="2" t="n">
        <v>0</v>
      </c>
      <c r="H14" s="2" t="n">
        <v>0</v>
      </c>
      <c r="I14" s="2" t="n">
        <v>0</v>
      </c>
      <c r="J14" s="2"/>
      <c r="K14" s="2"/>
      <c r="L14" s="2"/>
      <c r="M14" s="2" t="n">
        <v>38</v>
      </c>
      <c r="N14" s="2" t="n">
        <v>33</v>
      </c>
      <c r="O14" s="2" t="n">
        <v>1</v>
      </c>
      <c r="P14" s="2" t="n">
        <v>3</v>
      </c>
      <c r="Q14" s="2" t="n">
        <v>2</v>
      </c>
      <c r="R14" s="4" t="n">
        <f aca="false">SUM(M14:Q14)</f>
        <v>77</v>
      </c>
      <c r="S14" s="7" t="s">
        <v>56</v>
      </c>
      <c r="T14" s="2"/>
      <c r="U14" s="2"/>
    </row>
    <row r="15" customFormat="false" ht="15" hidden="false" customHeight="false" outlineLevel="0" collapsed="false">
      <c r="A15" s="2" t="n">
        <v>14</v>
      </c>
      <c r="B15" s="3" t="s">
        <v>57</v>
      </c>
      <c r="C15" s="2" t="s">
        <v>58</v>
      </c>
      <c r="D15" s="2" t="n">
        <v>9</v>
      </c>
      <c r="E15" s="2" t="n">
        <v>1647</v>
      </c>
      <c r="F15" s="2" t="n">
        <v>9.2</v>
      </c>
      <c r="G15" s="2" t="n">
        <v>9</v>
      </c>
      <c r="H15" s="2" t="n">
        <v>0</v>
      </c>
      <c r="I15" s="2" t="n">
        <v>1</v>
      </c>
      <c r="J15" s="2" t="s">
        <v>59</v>
      </c>
      <c r="K15" s="2" t="n">
        <v>700</v>
      </c>
      <c r="L15" s="2" t="n">
        <v>9</v>
      </c>
      <c r="M15" s="2" t="n">
        <v>69</v>
      </c>
      <c r="N15" s="2" t="n">
        <v>47</v>
      </c>
      <c r="O15" s="2" t="n">
        <v>5</v>
      </c>
      <c r="P15" s="2" t="n">
        <v>2</v>
      </c>
      <c r="Q15" s="2" t="n">
        <v>0</v>
      </c>
      <c r="R15" s="4" t="n">
        <f aca="false">SUM(M15:Q15)</f>
        <v>123</v>
      </c>
      <c r="S15" s="5" t="s">
        <v>38</v>
      </c>
      <c r="T15" s="2"/>
      <c r="U15" s="2"/>
    </row>
    <row r="16" customFormat="false" ht="15" hidden="false" customHeight="false" outlineLevel="0" collapsed="false">
      <c r="A16" s="2" t="n">
        <v>15</v>
      </c>
      <c r="B16" s="3" t="s">
        <v>60</v>
      </c>
      <c r="C16" s="2" t="s">
        <v>61</v>
      </c>
      <c r="D16" s="2" t="n">
        <v>10</v>
      </c>
      <c r="E16" s="2" t="n">
        <v>4292</v>
      </c>
      <c r="F16" s="2" t="n">
        <v>17.5</v>
      </c>
      <c r="G16" s="2" t="n">
        <v>0</v>
      </c>
      <c r="H16" s="2" t="n">
        <v>0</v>
      </c>
      <c r="I16" s="2" t="n">
        <v>0</v>
      </c>
      <c r="J16" s="2"/>
      <c r="K16" s="2"/>
      <c r="L16" s="2"/>
      <c r="M16" s="2" t="n">
        <v>227</v>
      </c>
      <c r="N16" s="2" t="n">
        <v>97</v>
      </c>
      <c r="O16" s="2" t="n">
        <v>10</v>
      </c>
      <c r="P16" s="2" t="n">
        <v>3</v>
      </c>
      <c r="Q16" s="2" t="n">
        <v>6</v>
      </c>
      <c r="R16" s="4" t="n">
        <f aca="false">SUM(M16:Q16)</f>
        <v>343</v>
      </c>
      <c r="S16" s="5" t="s">
        <v>38</v>
      </c>
      <c r="T16" s="2"/>
      <c r="U16" s="2"/>
    </row>
    <row r="17" customFormat="false" ht="15" hidden="false" customHeight="false" outlineLevel="0" collapsed="false">
      <c r="A17" s="2" t="n">
        <v>16</v>
      </c>
      <c r="B17" s="3" t="s">
        <v>62</v>
      </c>
      <c r="C17" s="2" t="s">
        <v>63</v>
      </c>
      <c r="D17" s="2" t="n">
        <v>3</v>
      </c>
      <c r="E17" s="2" t="n">
        <v>1352</v>
      </c>
      <c r="F17" s="2" t="n">
        <v>7.6</v>
      </c>
      <c r="G17" s="2" t="n">
        <v>1</v>
      </c>
      <c r="H17" s="2" t="n">
        <v>0</v>
      </c>
      <c r="I17" s="2" t="n">
        <v>1</v>
      </c>
      <c r="J17" s="2" t="s">
        <v>64</v>
      </c>
      <c r="K17" s="2" t="n">
        <v>20</v>
      </c>
      <c r="L17" s="2" t="n">
        <v>9</v>
      </c>
      <c r="M17" s="2" t="n">
        <v>8</v>
      </c>
      <c r="N17" s="2" t="n">
        <v>4</v>
      </c>
      <c r="O17" s="2" t="n">
        <v>0</v>
      </c>
      <c r="P17" s="2" t="n">
        <v>0</v>
      </c>
      <c r="Q17" s="2" t="n">
        <v>0</v>
      </c>
      <c r="R17" s="4" t="n">
        <f aca="false">SUM(M17:Q17)</f>
        <v>12</v>
      </c>
      <c r="S17" s="6" t="s">
        <v>65</v>
      </c>
      <c r="T17" s="2"/>
      <c r="U17" s="2"/>
    </row>
    <row r="18" customFormat="false" ht="15" hidden="false" customHeight="false" outlineLevel="0" collapsed="false">
      <c r="A18" s="2" t="n">
        <v>17</v>
      </c>
      <c r="B18" s="3" t="s">
        <v>66</v>
      </c>
      <c r="C18" s="2" t="s">
        <v>67</v>
      </c>
      <c r="D18" s="2" t="n">
        <v>25</v>
      </c>
      <c r="E18" s="2" t="n">
        <v>24556</v>
      </c>
      <c r="F18" s="2" t="n">
        <v>7.6</v>
      </c>
      <c r="G18" s="2" t="n">
        <v>11</v>
      </c>
      <c r="H18" s="2" t="n">
        <v>0</v>
      </c>
      <c r="I18" s="2" t="n">
        <v>1</v>
      </c>
      <c r="J18" s="2" t="s">
        <v>68</v>
      </c>
      <c r="K18" s="2" t="n">
        <v>100</v>
      </c>
      <c r="L18" s="2" t="n">
        <v>5</v>
      </c>
      <c r="M18" s="2" t="n">
        <v>66</v>
      </c>
      <c r="N18" s="2" t="n">
        <v>13</v>
      </c>
      <c r="O18" s="2" t="n">
        <v>4</v>
      </c>
      <c r="P18" s="2" t="n">
        <v>0</v>
      </c>
      <c r="Q18" s="2" t="n">
        <v>0</v>
      </c>
      <c r="R18" s="4" t="n">
        <f aca="false">SUM(M18:Q18)</f>
        <v>83</v>
      </c>
      <c r="S18" s="5" t="s">
        <v>30</v>
      </c>
      <c r="T18" s="2"/>
      <c r="U18" s="2"/>
    </row>
    <row r="19" customFormat="false" ht="15" hidden="false" customHeight="false" outlineLevel="0" collapsed="false">
      <c r="A19" s="2" t="n">
        <v>18</v>
      </c>
      <c r="B19" s="3" t="s">
        <v>69</v>
      </c>
      <c r="C19" s="2" t="s">
        <v>70</v>
      </c>
      <c r="D19" s="2" t="n">
        <v>0</v>
      </c>
      <c r="E19" s="2" t="n">
        <v>302</v>
      </c>
      <c r="F19" s="2" t="n">
        <v>6.5</v>
      </c>
      <c r="G19" s="2" t="n">
        <v>0</v>
      </c>
      <c r="H19" s="2" t="n">
        <v>0</v>
      </c>
      <c r="I19" s="2" t="n">
        <v>0</v>
      </c>
      <c r="J19" s="2"/>
      <c r="K19" s="2"/>
      <c r="L19" s="2"/>
      <c r="M19" s="2" t="n">
        <v>6</v>
      </c>
      <c r="N19" s="2" t="n">
        <v>4</v>
      </c>
      <c r="O19" s="2" t="n">
        <v>1</v>
      </c>
      <c r="P19" s="2" t="n">
        <v>0</v>
      </c>
      <c r="Q19" s="2" t="n">
        <v>0</v>
      </c>
      <c r="R19" s="4" t="n">
        <f aca="false">SUM(M19:Q19)</f>
        <v>11</v>
      </c>
      <c r="S19" s="8" t="s">
        <v>71</v>
      </c>
      <c r="T19" s="2"/>
      <c r="U19" s="2"/>
    </row>
    <row r="20" customFormat="false" ht="15" hidden="false" customHeight="false" outlineLevel="0" collapsed="false">
      <c r="A20" s="2" t="n">
        <v>19</v>
      </c>
      <c r="B20" s="3" t="s">
        <v>72</v>
      </c>
      <c r="C20" s="2" t="s">
        <v>73</v>
      </c>
      <c r="D20" s="2" t="n">
        <v>2</v>
      </c>
      <c r="E20" s="2" t="n">
        <v>501</v>
      </c>
      <c r="F20" s="2" t="n">
        <v>6.5</v>
      </c>
      <c r="G20" s="2" t="n">
        <v>0</v>
      </c>
      <c r="H20" s="2" t="n">
        <v>0</v>
      </c>
      <c r="I20" s="2" t="n">
        <v>0</v>
      </c>
      <c r="J20" s="2"/>
      <c r="K20" s="2"/>
      <c r="L20" s="2"/>
      <c r="M20" s="2" t="n">
        <v>10</v>
      </c>
      <c r="N20" s="2" t="n">
        <v>2</v>
      </c>
      <c r="O20" s="2" t="n">
        <v>0</v>
      </c>
      <c r="P20" s="2" t="n">
        <v>0</v>
      </c>
      <c r="Q20" s="2" t="n">
        <v>0</v>
      </c>
      <c r="R20" s="4" t="n">
        <f aca="false">SUM(M20:Q20)</f>
        <v>12</v>
      </c>
      <c r="S20" s="6" t="s">
        <v>65</v>
      </c>
      <c r="T20" s="2"/>
      <c r="U20" s="2"/>
    </row>
    <row r="21" customFormat="false" ht="15" hidden="false" customHeight="false" outlineLevel="0" collapsed="false">
      <c r="A21" s="2" t="n">
        <v>20</v>
      </c>
      <c r="B21" s="3" t="s">
        <v>74</v>
      </c>
      <c r="C21" s="2" t="s">
        <v>75</v>
      </c>
      <c r="D21" s="2" t="n">
        <v>0</v>
      </c>
      <c r="E21" s="2" t="n">
        <v>0</v>
      </c>
      <c r="F21" s="2"/>
      <c r="G21" s="2" t="n">
        <v>0</v>
      </c>
      <c r="H21" s="2" t="n">
        <v>0</v>
      </c>
      <c r="I21" s="2" t="n">
        <v>0</v>
      </c>
      <c r="J21" s="2"/>
      <c r="K21" s="2"/>
      <c r="L21" s="2"/>
      <c r="M21" s="2" t="n">
        <v>10</v>
      </c>
      <c r="N21" s="2" t="n">
        <v>1</v>
      </c>
      <c r="O21" s="2" t="n">
        <v>1</v>
      </c>
      <c r="P21" s="2" t="n">
        <v>1</v>
      </c>
      <c r="Q21" s="2" t="n">
        <v>0</v>
      </c>
      <c r="R21" s="4" t="n">
        <f aca="false">SUM(M21:Q21)</f>
        <v>13</v>
      </c>
      <c r="S21" s="8" t="s">
        <v>71</v>
      </c>
      <c r="T21" s="2"/>
      <c r="U21" s="2"/>
    </row>
    <row r="22" customFormat="false" ht="15" hidden="false" customHeight="false" outlineLevel="0" collapsed="false">
      <c r="A22" s="2" t="n">
        <v>21</v>
      </c>
      <c r="B22" s="3" t="s">
        <v>76</v>
      </c>
      <c r="C22" s="2" t="s">
        <v>77</v>
      </c>
      <c r="D22" s="2" t="n">
        <v>5</v>
      </c>
      <c r="E22" s="2" t="n">
        <v>927</v>
      </c>
      <c r="F22" s="2" t="n">
        <v>11</v>
      </c>
      <c r="G22" s="2" t="n">
        <v>0</v>
      </c>
      <c r="H22" s="2" t="n">
        <v>0</v>
      </c>
      <c r="I22" s="2" t="n">
        <v>0</v>
      </c>
      <c r="J22" s="2"/>
      <c r="K22" s="2"/>
      <c r="L22" s="2"/>
      <c r="M22" s="2" t="n">
        <v>32</v>
      </c>
      <c r="N22" s="2" t="n">
        <v>25</v>
      </c>
      <c r="O22" s="2" t="n">
        <v>0</v>
      </c>
      <c r="P22" s="2" t="n">
        <v>3</v>
      </c>
      <c r="Q22" s="2" t="n">
        <v>0</v>
      </c>
      <c r="R22" s="4" t="n">
        <f aca="false">SUM(M22:Q22)</f>
        <v>60</v>
      </c>
      <c r="S22" s="6" t="s">
        <v>26</v>
      </c>
      <c r="T22" s="2"/>
      <c r="U22" s="2"/>
    </row>
    <row r="23" customFormat="false" ht="15" hidden="false" customHeight="false" outlineLevel="0" collapsed="false">
      <c r="A23" s="2" t="n">
        <v>22</v>
      </c>
      <c r="B23" s="3" t="s">
        <v>78</v>
      </c>
      <c r="C23" s="2" t="s">
        <v>79</v>
      </c>
      <c r="D23" s="2" t="n">
        <v>1</v>
      </c>
      <c r="E23" s="2" t="n">
        <v>523</v>
      </c>
      <c r="F23" s="2" t="n">
        <v>8</v>
      </c>
      <c r="G23" s="2" t="n">
        <v>0</v>
      </c>
      <c r="H23" s="2" t="n">
        <v>0</v>
      </c>
      <c r="I23" s="2" t="n">
        <v>0</v>
      </c>
      <c r="J23" s="2"/>
      <c r="K23" s="2"/>
      <c r="L23" s="2"/>
      <c r="M23" s="2" t="n">
        <v>55</v>
      </c>
      <c r="N23" s="2" t="n">
        <v>39</v>
      </c>
      <c r="O23" s="2" t="n">
        <v>2</v>
      </c>
      <c r="P23" s="2" t="n">
        <v>28</v>
      </c>
      <c r="Q23" s="2" t="n">
        <v>0</v>
      </c>
      <c r="R23" s="4" t="n">
        <f aca="false">SUM(M23:Q23)</f>
        <v>124</v>
      </c>
      <c r="S23" s="5" t="s">
        <v>38</v>
      </c>
      <c r="T23" s="2"/>
      <c r="U23" s="2"/>
    </row>
    <row r="24" customFormat="false" ht="15" hidden="false" customHeight="false" outlineLevel="0" collapsed="false">
      <c r="A24" s="2" t="n">
        <v>23</v>
      </c>
      <c r="B24" s="3" t="s">
        <v>80</v>
      </c>
      <c r="C24" s="2" t="s">
        <v>81</v>
      </c>
      <c r="D24" s="2" t="n">
        <v>5</v>
      </c>
      <c r="E24" s="2" t="n">
        <v>926</v>
      </c>
      <c r="F24" s="2" t="n">
        <v>22.7</v>
      </c>
      <c r="G24" s="2" t="n">
        <v>0</v>
      </c>
      <c r="H24" s="2" t="n">
        <v>0</v>
      </c>
      <c r="I24" s="2" t="n">
        <v>0</v>
      </c>
      <c r="J24" s="2"/>
      <c r="K24" s="2"/>
      <c r="L24" s="2"/>
      <c r="M24" s="2" t="n">
        <v>77</v>
      </c>
      <c r="N24" s="2" t="n">
        <v>45</v>
      </c>
      <c r="O24" s="2" t="n">
        <v>4</v>
      </c>
      <c r="P24" s="2" t="n">
        <v>0</v>
      </c>
      <c r="Q24" s="2" t="n">
        <v>0</v>
      </c>
      <c r="R24" s="4" t="n">
        <f aca="false">SUM(M24:Q24)</f>
        <v>126</v>
      </c>
      <c r="S24" s="6" t="s">
        <v>26</v>
      </c>
      <c r="T24" s="2"/>
      <c r="U24" s="2"/>
    </row>
    <row r="25" customFormat="false" ht="15" hidden="false" customHeight="false" outlineLevel="0" collapsed="false">
      <c r="A25" s="2" t="n">
        <v>24</v>
      </c>
      <c r="B25" s="3" t="s">
        <v>82</v>
      </c>
      <c r="C25" s="2" t="s">
        <v>83</v>
      </c>
      <c r="D25" s="2" t="n">
        <v>3</v>
      </c>
      <c r="E25" s="2" t="n">
        <v>924</v>
      </c>
      <c r="F25" s="2" t="n">
        <v>9.1</v>
      </c>
      <c r="G25" s="2" t="n">
        <v>0</v>
      </c>
      <c r="H25" s="2" t="n">
        <v>0</v>
      </c>
      <c r="I25" s="2" t="n">
        <v>0</v>
      </c>
      <c r="J25" s="2"/>
      <c r="K25" s="2"/>
      <c r="L25" s="2"/>
      <c r="M25" s="2" t="n">
        <v>49</v>
      </c>
      <c r="N25" s="2" t="n">
        <v>49</v>
      </c>
      <c r="O25" s="2" t="n">
        <v>5</v>
      </c>
      <c r="P25" s="2" t="n">
        <v>0</v>
      </c>
      <c r="Q25" s="2" t="n">
        <v>0</v>
      </c>
      <c r="R25" s="4" t="n">
        <f aca="false">SUM(M25:Q25)</f>
        <v>103</v>
      </c>
      <c r="S25" s="5" t="s">
        <v>38</v>
      </c>
      <c r="T25" s="2"/>
      <c r="U25" s="2"/>
    </row>
    <row r="26" customFormat="false" ht="15" hidden="false" customHeight="false" outlineLevel="0" collapsed="false">
      <c r="A26" s="2" t="n">
        <v>25</v>
      </c>
      <c r="B26" s="3" t="s">
        <v>84</v>
      </c>
      <c r="C26" s="2" t="s">
        <v>85</v>
      </c>
      <c r="D26" s="2" t="n">
        <v>0</v>
      </c>
      <c r="E26" s="2" t="n">
        <v>0</v>
      </c>
      <c r="F26" s="2"/>
      <c r="G26" s="2" t="n">
        <v>0</v>
      </c>
      <c r="H26" s="2" t="n">
        <v>0</v>
      </c>
      <c r="I26" s="2" t="n">
        <v>0</v>
      </c>
      <c r="J26" s="2"/>
      <c r="K26" s="2"/>
      <c r="L26" s="2"/>
      <c r="M26" s="2" t="n">
        <v>0</v>
      </c>
      <c r="N26" s="2" t="n">
        <v>0</v>
      </c>
      <c r="O26" s="2" t="n">
        <v>0</v>
      </c>
      <c r="P26" s="2" t="n">
        <v>1</v>
      </c>
      <c r="Q26" s="2" t="n">
        <v>0</v>
      </c>
      <c r="R26" s="4" t="n">
        <f aca="false">SUM(M26:Q26)</f>
        <v>1</v>
      </c>
      <c r="S26" s="8" t="s">
        <v>71</v>
      </c>
      <c r="T26" s="2"/>
      <c r="U26" s="2"/>
    </row>
    <row r="27" customFormat="false" ht="15" hidden="false" customHeight="false" outlineLevel="0" collapsed="false">
      <c r="A27" s="2" t="n">
        <v>26</v>
      </c>
      <c r="B27" s="3" t="s">
        <v>86</v>
      </c>
      <c r="C27" s="2" t="s">
        <v>87</v>
      </c>
      <c r="D27" s="2" t="n">
        <v>0</v>
      </c>
      <c r="E27" s="2" t="n">
        <v>0</v>
      </c>
      <c r="F27" s="2"/>
      <c r="G27" s="2" t="n">
        <v>0</v>
      </c>
      <c r="H27" s="2" t="n">
        <v>0</v>
      </c>
      <c r="I27" s="2" t="n">
        <v>0</v>
      </c>
      <c r="J27" s="2"/>
      <c r="K27" s="2"/>
      <c r="L27" s="2"/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4" t="n">
        <f aca="false">SUM(M27:Q27)</f>
        <v>0</v>
      </c>
      <c r="S27" s="8" t="s">
        <v>71</v>
      </c>
      <c r="T27" s="2"/>
      <c r="U27" s="2"/>
    </row>
    <row r="28" customFormat="false" ht="15" hidden="false" customHeight="false" outlineLevel="0" collapsed="false">
      <c r="C28" s="9" t="s">
        <v>88</v>
      </c>
      <c r="D28" s="10" t="n">
        <f aca="false">SUM(D2:D27)</f>
        <v>1204</v>
      </c>
      <c r="E28" s="10" t="n">
        <f aca="false">SUM(E2:E27)</f>
        <v>225520</v>
      </c>
      <c r="G28" s="10" t="n">
        <f aca="false">SUM(G2:G27)</f>
        <v>90</v>
      </c>
      <c r="H28" s="10" t="n">
        <f aca="false">SUM(H2:H27)</f>
        <v>2</v>
      </c>
      <c r="I28" s="10" t="n">
        <f aca="false">SUM(I2:I27)</f>
        <v>30</v>
      </c>
      <c r="M28" s="10" t="n">
        <f aca="false">SUM(M2:M27)</f>
        <v>3360</v>
      </c>
      <c r="N28" s="10" t="n">
        <f aca="false">SUM(N2:N27)</f>
        <v>973</v>
      </c>
      <c r="O28" s="10" t="n">
        <f aca="false">SUM(O2:O27)</f>
        <v>119</v>
      </c>
      <c r="P28" s="10" t="n">
        <f aca="false">SUM(P2:P27)</f>
        <v>60</v>
      </c>
      <c r="Q28" s="10" t="n">
        <f aca="false">SUM(Q2:Q27)</f>
        <v>21</v>
      </c>
      <c r="R28" s="10" t="n">
        <f aca="false">SUM(R2:R27)</f>
        <v>4533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2"/>
    <col collapsed="false" customWidth="true" hidden="false" outlineLevel="0" max="7" min="7" style="0" width="45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11" t="s">
        <v>89</v>
      </c>
      <c r="B1" s="11" t="s">
        <v>90</v>
      </c>
      <c r="C1" s="11" t="s">
        <v>91</v>
      </c>
      <c r="D1" s="11" t="s">
        <v>92</v>
      </c>
      <c r="E1" s="11" t="s">
        <v>93</v>
      </c>
      <c r="F1" s="11" t="s">
        <v>94</v>
      </c>
      <c r="G1" s="11" t="s">
        <v>1</v>
      </c>
      <c r="H1" s="11" t="s">
        <v>95</v>
      </c>
    </row>
    <row r="2" customFormat="false" ht="15" hidden="false" customHeight="false" outlineLevel="0" collapsed="false">
      <c r="A2" s="12" t="s">
        <v>29</v>
      </c>
      <c r="B2" s="12" t="s">
        <v>96</v>
      </c>
      <c r="C2" s="12" t="n">
        <v>200</v>
      </c>
      <c r="D2" s="12" t="n">
        <v>0</v>
      </c>
      <c r="E2" s="12" t="n">
        <v>4</v>
      </c>
      <c r="F2" s="12" t="n">
        <v>16</v>
      </c>
      <c r="G2" s="13" t="s">
        <v>27</v>
      </c>
      <c r="H2" s="12" t="s">
        <v>97</v>
      </c>
    </row>
    <row r="3" customFormat="false" ht="15" hidden="false" customHeight="false" outlineLevel="0" collapsed="false">
      <c r="A3" s="12" t="s">
        <v>51</v>
      </c>
      <c r="B3" s="12" t="s">
        <v>98</v>
      </c>
      <c r="C3" s="12" t="n">
        <v>250</v>
      </c>
      <c r="D3" s="12" t="n">
        <v>0</v>
      </c>
      <c r="E3" s="12" t="n">
        <v>1</v>
      </c>
      <c r="F3" s="12" t="n">
        <v>12</v>
      </c>
      <c r="G3" s="13" t="s">
        <v>52</v>
      </c>
      <c r="H3" s="12" t="s">
        <v>99</v>
      </c>
    </row>
    <row r="4" customFormat="false" ht="15" hidden="false" customHeight="false" outlineLevel="0" collapsed="false">
      <c r="A4" s="12" t="s">
        <v>68</v>
      </c>
      <c r="B4" s="12" t="s">
        <v>98</v>
      </c>
      <c r="C4" s="12" t="n">
        <v>100</v>
      </c>
      <c r="D4" s="12" t="n">
        <v>22</v>
      </c>
      <c r="E4" s="12" t="n">
        <v>4</v>
      </c>
      <c r="F4" s="12" t="n">
        <v>11</v>
      </c>
      <c r="G4" s="13" t="s">
        <v>66</v>
      </c>
      <c r="H4" s="12" t="s">
        <v>100</v>
      </c>
    </row>
    <row r="5" customFormat="false" ht="15" hidden="false" customHeight="false" outlineLevel="0" collapsed="false">
      <c r="A5" s="12" t="s">
        <v>59</v>
      </c>
      <c r="B5" s="12" t="s">
        <v>98</v>
      </c>
      <c r="C5" s="12" t="n">
        <v>700</v>
      </c>
      <c r="D5" s="12" t="n">
        <v>0</v>
      </c>
      <c r="E5" s="12" t="n">
        <v>1</v>
      </c>
      <c r="F5" s="12" t="n">
        <v>9</v>
      </c>
      <c r="G5" s="13" t="s">
        <v>57</v>
      </c>
      <c r="H5" s="12" t="s">
        <v>99</v>
      </c>
    </row>
    <row r="6" customFormat="false" ht="15" hidden="false" customHeight="false" outlineLevel="0" collapsed="false">
      <c r="A6" s="12" t="s">
        <v>101</v>
      </c>
      <c r="B6" s="12" t="s">
        <v>98</v>
      </c>
      <c r="C6" s="12" t="n">
        <v>150</v>
      </c>
      <c r="D6" s="12" t="n">
        <v>0</v>
      </c>
      <c r="E6" s="12" t="n">
        <v>8</v>
      </c>
      <c r="F6" s="12" t="n">
        <v>7</v>
      </c>
      <c r="G6" s="13" t="s">
        <v>52</v>
      </c>
      <c r="H6" s="12" t="s">
        <v>100</v>
      </c>
    </row>
    <row r="7" customFormat="false" ht="15" hidden="false" customHeight="false" outlineLevel="0" collapsed="false">
      <c r="A7" s="12" t="s">
        <v>102</v>
      </c>
      <c r="B7" s="12" t="s">
        <v>103</v>
      </c>
      <c r="C7" s="12" t="n">
        <v>40</v>
      </c>
      <c r="D7" s="12" t="n">
        <v>0</v>
      </c>
      <c r="E7" s="12" t="n">
        <v>4</v>
      </c>
      <c r="F7" s="12" t="n">
        <v>5</v>
      </c>
      <c r="G7" s="13" t="s">
        <v>52</v>
      </c>
      <c r="H7" s="12" t="s">
        <v>99</v>
      </c>
    </row>
    <row r="8" customFormat="false" ht="15" hidden="false" customHeight="false" outlineLevel="0" collapsed="false">
      <c r="A8" s="12" t="s">
        <v>104</v>
      </c>
      <c r="B8" s="12" t="s">
        <v>98</v>
      </c>
      <c r="C8" s="12" t="n">
        <v>40</v>
      </c>
      <c r="D8" s="12" t="n">
        <v>0</v>
      </c>
      <c r="E8" s="12" t="n">
        <v>4</v>
      </c>
      <c r="F8" s="12" t="n">
        <v>4</v>
      </c>
      <c r="G8" s="13" t="s">
        <v>52</v>
      </c>
      <c r="H8" s="12" t="s">
        <v>99</v>
      </c>
    </row>
    <row r="9" customFormat="false" ht="15" hidden="false" customHeight="false" outlineLevel="0" collapsed="false">
      <c r="A9" s="12" t="s">
        <v>105</v>
      </c>
      <c r="B9" s="12" t="s">
        <v>98</v>
      </c>
      <c r="C9" s="12" t="n">
        <v>30</v>
      </c>
      <c r="D9" s="12" t="n">
        <v>0</v>
      </c>
      <c r="E9" s="12" t="n">
        <v>5</v>
      </c>
      <c r="F9" s="12" t="n">
        <v>3</v>
      </c>
      <c r="G9" s="13" t="s">
        <v>27</v>
      </c>
      <c r="H9" s="12" t="s">
        <v>97</v>
      </c>
    </row>
    <row r="10" customFormat="false" ht="15" hidden="false" customHeight="false" outlineLevel="0" collapsed="false">
      <c r="A10" s="12" t="s">
        <v>106</v>
      </c>
      <c r="B10" s="12" t="s">
        <v>98</v>
      </c>
      <c r="C10" s="12" t="n">
        <v>100</v>
      </c>
      <c r="D10" s="12" t="n">
        <v>0</v>
      </c>
      <c r="E10" s="12" t="n">
        <v>10</v>
      </c>
      <c r="F10" s="12" t="n">
        <v>3</v>
      </c>
      <c r="G10" s="13" t="s">
        <v>52</v>
      </c>
      <c r="H10" s="12" t="s">
        <v>99</v>
      </c>
    </row>
    <row r="11" customFormat="false" ht="15" hidden="false" customHeight="false" outlineLevel="0" collapsed="false">
      <c r="A11" s="12" t="s">
        <v>41</v>
      </c>
      <c r="B11" s="12" t="s">
        <v>107</v>
      </c>
      <c r="C11" s="12" t="n">
        <v>1100</v>
      </c>
      <c r="D11" s="12" t="n">
        <v>0</v>
      </c>
      <c r="E11" s="12" t="n">
        <v>17</v>
      </c>
      <c r="F11" s="12" t="n">
        <v>3</v>
      </c>
      <c r="G11" s="13" t="s">
        <v>39</v>
      </c>
      <c r="H11" s="12" t="s">
        <v>99</v>
      </c>
    </row>
    <row r="12" customFormat="false" ht="15" hidden="false" customHeight="false" outlineLevel="0" collapsed="false">
      <c r="A12" s="12" t="s">
        <v>37</v>
      </c>
      <c r="B12" s="12" t="s">
        <v>103</v>
      </c>
      <c r="C12" s="12" t="n">
        <v>60</v>
      </c>
      <c r="D12" s="12" t="n">
        <v>0</v>
      </c>
      <c r="E12" s="12" t="n">
        <v>8</v>
      </c>
      <c r="F12" s="12" t="n">
        <v>2</v>
      </c>
      <c r="G12" s="13" t="s">
        <v>35</v>
      </c>
      <c r="H12" s="12" t="s">
        <v>100</v>
      </c>
    </row>
    <row r="13" customFormat="false" ht="15" hidden="false" customHeight="false" outlineLevel="0" collapsed="false">
      <c r="A13" s="12" t="s">
        <v>108</v>
      </c>
      <c r="B13" s="12" t="s">
        <v>98</v>
      </c>
      <c r="C13" s="12" t="n">
        <v>100</v>
      </c>
      <c r="D13" s="12" t="n">
        <v>0</v>
      </c>
      <c r="E13" s="12" t="n">
        <v>12</v>
      </c>
      <c r="F13" s="12" t="n">
        <v>2</v>
      </c>
      <c r="G13" s="13" t="s">
        <v>52</v>
      </c>
      <c r="H13" s="12" t="s">
        <v>100</v>
      </c>
    </row>
    <row r="14" customFormat="false" ht="15" hidden="false" customHeight="false" outlineLevel="0" collapsed="false">
      <c r="A14" s="12" t="s">
        <v>109</v>
      </c>
      <c r="B14" s="12" t="s">
        <v>98</v>
      </c>
      <c r="C14" s="12" t="n">
        <v>50</v>
      </c>
      <c r="D14" s="12" t="n">
        <v>0</v>
      </c>
      <c r="E14" s="12" t="n">
        <v>4</v>
      </c>
      <c r="F14" s="12" t="n">
        <v>2</v>
      </c>
      <c r="G14" s="13" t="s">
        <v>52</v>
      </c>
      <c r="H14" s="12" t="s">
        <v>100</v>
      </c>
    </row>
    <row r="15" customFormat="false" ht="15" hidden="false" customHeight="false" outlineLevel="0" collapsed="false">
      <c r="A15" s="12" t="s">
        <v>41</v>
      </c>
      <c r="B15" s="12" t="s">
        <v>98</v>
      </c>
      <c r="C15" s="12" t="n">
        <v>4800</v>
      </c>
      <c r="D15" s="12" t="n">
        <v>0</v>
      </c>
      <c r="E15" s="12" t="n">
        <v>26</v>
      </c>
      <c r="F15" s="12" t="n">
        <v>1</v>
      </c>
      <c r="G15" s="13" t="s">
        <v>52</v>
      </c>
      <c r="H15" s="12" t="s">
        <v>100</v>
      </c>
    </row>
    <row r="16" customFormat="false" ht="15" hidden="false" customHeight="false" outlineLevel="0" collapsed="false">
      <c r="A16" s="12" t="s">
        <v>110</v>
      </c>
      <c r="B16" s="12" t="s">
        <v>103</v>
      </c>
      <c r="C16" s="12" t="n">
        <v>20</v>
      </c>
      <c r="D16" s="12" t="n">
        <v>13</v>
      </c>
      <c r="E16" s="12" t="n">
        <v>7</v>
      </c>
      <c r="F16" s="12" t="n">
        <v>1</v>
      </c>
      <c r="G16" s="13" t="s">
        <v>39</v>
      </c>
      <c r="H16" s="12" t="s">
        <v>97</v>
      </c>
    </row>
    <row r="17" customFormat="false" ht="15" hidden="false" customHeight="false" outlineLevel="0" collapsed="false">
      <c r="A17" s="12" t="s">
        <v>111</v>
      </c>
      <c r="B17" s="12" t="s">
        <v>98</v>
      </c>
      <c r="C17" s="12" t="n">
        <v>30</v>
      </c>
      <c r="D17" s="12" t="n">
        <v>7</v>
      </c>
      <c r="E17" s="12" t="n">
        <v>8</v>
      </c>
      <c r="F17" s="12" t="n">
        <v>1</v>
      </c>
      <c r="G17" s="13" t="s">
        <v>52</v>
      </c>
      <c r="H17" s="12" t="s">
        <v>100</v>
      </c>
    </row>
    <row r="18" customFormat="false" ht="15" hidden="false" customHeight="false" outlineLevel="0" collapsed="false">
      <c r="A18" s="12" t="s">
        <v>112</v>
      </c>
      <c r="B18" s="12" t="s">
        <v>98</v>
      </c>
      <c r="C18" s="12" t="n">
        <v>30</v>
      </c>
      <c r="D18" s="12" t="n">
        <v>0</v>
      </c>
      <c r="E18" s="12" t="n">
        <v>1</v>
      </c>
      <c r="F18" s="12" t="n">
        <v>1</v>
      </c>
      <c r="G18" s="13" t="s">
        <v>27</v>
      </c>
      <c r="H18" s="12" t="s">
        <v>97</v>
      </c>
    </row>
    <row r="19" customFormat="false" ht="15" hidden="false" customHeight="false" outlineLevel="0" collapsed="false">
      <c r="A19" s="12" t="s">
        <v>102</v>
      </c>
      <c r="B19" s="12" t="s">
        <v>98</v>
      </c>
      <c r="C19" s="12" t="n">
        <v>600</v>
      </c>
      <c r="D19" s="12" t="n">
        <v>2</v>
      </c>
      <c r="E19" s="12" t="n">
        <v>25</v>
      </c>
      <c r="F19" s="12" t="n">
        <v>1</v>
      </c>
      <c r="G19" s="13" t="s">
        <v>52</v>
      </c>
      <c r="H19" s="12" t="s">
        <v>99</v>
      </c>
    </row>
    <row r="20" customFormat="false" ht="15" hidden="false" customHeight="false" outlineLevel="0" collapsed="false">
      <c r="A20" s="12" t="s">
        <v>29</v>
      </c>
      <c r="B20" s="12" t="s">
        <v>113</v>
      </c>
      <c r="C20" s="12" t="n">
        <v>30</v>
      </c>
      <c r="D20" s="12" t="n">
        <v>0</v>
      </c>
      <c r="E20" s="12" t="n">
        <v>9</v>
      </c>
      <c r="F20" s="12" t="n">
        <v>1</v>
      </c>
      <c r="G20" s="13" t="s">
        <v>27</v>
      </c>
      <c r="H20" s="12" t="s">
        <v>97</v>
      </c>
    </row>
    <row r="21" customFormat="false" ht="15" hidden="false" customHeight="false" outlineLevel="0" collapsed="false">
      <c r="A21" s="12" t="s">
        <v>114</v>
      </c>
      <c r="B21" s="12" t="s">
        <v>103</v>
      </c>
      <c r="C21" s="12" t="n">
        <v>200</v>
      </c>
      <c r="D21" s="12" t="n">
        <v>5</v>
      </c>
      <c r="E21" s="12" t="n">
        <v>19</v>
      </c>
      <c r="F21" s="12" t="n">
        <v>1</v>
      </c>
      <c r="G21" s="13" t="s">
        <v>39</v>
      </c>
      <c r="H21" s="12" t="s">
        <v>97</v>
      </c>
    </row>
    <row r="22" customFormat="false" ht="15" hidden="false" customHeight="false" outlineLevel="0" collapsed="false">
      <c r="A22" s="12" t="s">
        <v>29</v>
      </c>
      <c r="B22" s="12" t="s">
        <v>98</v>
      </c>
      <c r="C22" s="12" t="n">
        <v>30</v>
      </c>
      <c r="D22" s="12" t="n">
        <v>0</v>
      </c>
      <c r="E22" s="12" t="n">
        <v>11</v>
      </c>
      <c r="F22" s="12" t="n">
        <v>1</v>
      </c>
      <c r="G22" s="13" t="s">
        <v>27</v>
      </c>
      <c r="H22" s="12" t="s">
        <v>97</v>
      </c>
    </row>
    <row r="23" customFormat="false" ht="15" hidden="false" customHeight="false" outlineLevel="0" collapsed="false">
      <c r="A23" s="12" t="s">
        <v>64</v>
      </c>
      <c r="B23" s="12" t="s">
        <v>115</v>
      </c>
      <c r="C23" s="12" t="n">
        <v>20</v>
      </c>
      <c r="D23" s="12" t="n">
        <v>0</v>
      </c>
      <c r="E23" s="12" t="n">
        <v>9</v>
      </c>
      <c r="F23" s="12" t="n">
        <v>1</v>
      </c>
      <c r="G23" s="13" t="s">
        <v>62</v>
      </c>
      <c r="H23" s="12" t="s">
        <v>99</v>
      </c>
    </row>
    <row r="24" customFormat="false" ht="15" hidden="false" customHeight="false" outlineLevel="0" collapsed="false">
      <c r="A24" s="12" t="s">
        <v>116</v>
      </c>
      <c r="B24" s="12" t="s">
        <v>96</v>
      </c>
      <c r="C24" s="12" t="n">
        <v>200</v>
      </c>
      <c r="D24" s="12" t="n">
        <v>0</v>
      </c>
      <c r="E24" s="12" t="n">
        <v>21</v>
      </c>
      <c r="F24" s="12" t="n">
        <v>1</v>
      </c>
      <c r="G24" s="13" t="s">
        <v>39</v>
      </c>
      <c r="H24" s="12" t="s">
        <v>97</v>
      </c>
    </row>
    <row r="25" customFormat="false" ht="15" hidden="false" customHeight="false" outlineLevel="0" collapsed="false">
      <c r="A25" s="12" t="s">
        <v>117</v>
      </c>
      <c r="B25" s="12" t="s">
        <v>98</v>
      </c>
      <c r="C25" s="12" t="n">
        <v>10</v>
      </c>
      <c r="D25" s="12" t="n">
        <v>0</v>
      </c>
      <c r="E25" s="12" t="n">
        <v>12</v>
      </c>
      <c r="F25" s="12" t="n">
        <v>0</v>
      </c>
      <c r="G25" s="13" t="s">
        <v>49</v>
      </c>
      <c r="H25" s="12" t="s">
        <v>118</v>
      </c>
    </row>
    <row r="26" customFormat="false" ht="15" hidden="false" customHeight="false" outlineLevel="0" collapsed="false">
      <c r="A26" s="12" t="s">
        <v>119</v>
      </c>
      <c r="B26" s="12" t="s">
        <v>98</v>
      </c>
      <c r="C26" s="12" t="n">
        <v>500</v>
      </c>
      <c r="D26" s="12" t="n">
        <v>2</v>
      </c>
      <c r="E26" s="12" t="n">
        <v>31</v>
      </c>
      <c r="F26" s="12" t="n">
        <v>0</v>
      </c>
      <c r="G26" s="13" t="s">
        <v>52</v>
      </c>
      <c r="H26" s="12" t="s">
        <v>99</v>
      </c>
    </row>
    <row r="27" customFormat="false" ht="15" hidden="false" customHeight="false" outlineLevel="0" collapsed="false">
      <c r="A27" s="12" t="s">
        <v>120</v>
      </c>
      <c r="B27" s="12" t="s">
        <v>121</v>
      </c>
      <c r="C27" s="12" t="n">
        <v>0</v>
      </c>
      <c r="D27" s="12" t="n">
        <v>0</v>
      </c>
      <c r="E27" s="12" t="n">
        <v>7</v>
      </c>
      <c r="F27" s="12" t="n">
        <v>0</v>
      </c>
      <c r="G27" s="13" t="s">
        <v>27</v>
      </c>
      <c r="H27" s="12" t="s">
        <v>100</v>
      </c>
    </row>
    <row r="28" customFormat="false" ht="15" hidden="false" customHeight="false" outlineLevel="0" collapsed="false">
      <c r="A28" s="12" t="s">
        <v>122</v>
      </c>
      <c r="B28" s="12" t="s">
        <v>103</v>
      </c>
      <c r="C28" s="12" t="n">
        <v>200</v>
      </c>
      <c r="D28" s="12" t="n">
        <v>1</v>
      </c>
      <c r="E28" s="12" t="n">
        <v>40</v>
      </c>
      <c r="F28" s="12" t="n">
        <v>0</v>
      </c>
      <c r="G28" s="13" t="s">
        <v>39</v>
      </c>
      <c r="H28" s="12" t="s">
        <v>97</v>
      </c>
    </row>
    <row r="29" customFormat="false" ht="15" hidden="false" customHeight="false" outlineLevel="0" collapsed="false">
      <c r="A29" s="12" t="s">
        <v>44</v>
      </c>
      <c r="B29" s="12" t="s">
        <v>98</v>
      </c>
      <c r="C29" s="12" t="n">
        <v>90</v>
      </c>
      <c r="D29" s="12" t="n">
        <v>55</v>
      </c>
      <c r="E29" s="12" t="n">
        <v>41</v>
      </c>
      <c r="F29" s="12" t="n">
        <v>0</v>
      </c>
      <c r="G29" s="13" t="s">
        <v>42</v>
      </c>
      <c r="H29" s="12" t="s">
        <v>100</v>
      </c>
    </row>
    <row r="30" customFormat="false" ht="15" hidden="false" customHeight="false" outlineLevel="0" collapsed="false">
      <c r="A30" s="12" t="s">
        <v>29</v>
      </c>
      <c r="B30" s="12" t="s">
        <v>103</v>
      </c>
      <c r="C30" s="12" t="n">
        <v>800</v>
      </c>
      <c r="D30" s="12" t="n">
        <v>0</v>
      </c>
      <c r="E30" s="12" t="n">
        <v>67</v>
      </c>
      <c r="F30" s="12" t="n">
        <v>0</v>
      </c>
      <c r="G30" s="13" t="s">
        <v>27</v>
      </c>
      <c r="H30" s="12" t="s">
        <v>97</v>
      </c>
    </row>
    <row r="31" customFormat="false" ht="15" hidden="false" customHeight="false" outlineLevel="0" collapsed="false">
      <c r="A31" s="12" t="s">
        <v>123</v>
      </c>
      <c r="B31" s="12" t="s">
        <v>103</v>
      </c>
      <c r="C31" s="12" t="n">
        <v>900</v>
      </c>
      <c r="D31" s="12" t="n">
        <v>24</v>
      </c>
      <c r="E31" s="12" t="n">
        <v>77</v>
      </c>
      <c r="F31" s="12" t="n">
        <v>0</v>
      </c>
      <c r="G31" s="13" t="s">
        <v>39</v>
      </c>
      <c r="H31" s="12" t="s">
        <v>100</v>
      </c>
    </row>
    <row r="32" customFormat="false" ht="15" hidden="false" customHeight="false" outlineLevel="0" collapsed="false">
      <c r="A32" s="12" t="s">
        <v>112</v>
      </c>
      <c r="B32" s="12" t="s">
        <v>103</v>
      </c>
      <c r="C32" s="12" t="n">
        <v>350</v>
      </c>
      <c r="D32" s="12" t="n">
        <v>1</v>
      </c>
      <c r="E32" s="12" t="n">
        <v>87</v>
      </c>
      <c r="F32" s="12" t="n">
        <v>0</v>
      </c>
      <c r="G32" s="13" t="s">
        <v>27</v>
      </c>
      <c r="H32" s="12" t="s">
        <v>97</v>
      </c>
    </row>
    <row r="33" customFormat="false" ht="15" hidden="false" customHeight="false" outlineLevel="0" collapsed="false">
      <c r="A33" s="12" t="s">
        <v>124</v>
      </c>
      <c r="B33" s="12" t="s">
        <v>103</v>
      </c>
      <c r="C33" s="12" t="n">
        <v>600</v>
      </c>
      <c r="D33" s="12" t="n">
        <v>12</v>
      </c>
      <c r="E33" s="12" t="n">
        <v>97</v>
      </c>
      <c r="F33" s="12" t="n">
        <v>0</v>
      </c>
      <c r="G33" s="13" t="s">
        <v>39</v>
      </c>
      <c r="H33" s="12" t="s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</cols>
  <sheetData>
    <row r="1" customFormat="false" ht="15" hidden="false" customHeight="false" outlineLevel="0" collapsed="false">
      <c r="A1" s="11" t="s">
        <v>125</v>
      </c>
      <c r="B1" s="11" t="s">
        <v>126</v>
      </c>
      <c r="C1" s="11" t="s">
        <v>127</v>
      </c>
      <c r="D1" s="11" t="s">
        <v>128</v>
      </c>
      <c r="E1" s="11" t="s">
        <v>93</v>
      </c>
    </row>
    <row r="2" customFormat="false" ht="15" hidden="false" customHeight="false" outlineLevel="0" collapsed="false">
      <c r="A2" s="12" t="s">
        <v>129</v>
      </c>
      <c r="B2" s="12" t="n">
        <v>10248</v>
      </c>
      <c r="C2" s="12" t="n">
        <v>22542</v>
      </c>
      <c r="D2" s="12" t="s">
        <v>130</v>
      </c>
      <c r="E2" s="12" t="n">
        <v>2.02</v>
      </c>
    </row>
    <row r="3" customFormat="false" ht="15" hidden="false" customHeight="false" outlineLevel="0" collapsed="false">
      <c r="A3" s="12" t="s">
        <v>131</v>
      </c>
      <c r="B3" s="12" t="n">
        <v>7958</v>
      </c>
      <c r="C3" s="12" t="n">
        <v>18104</v>
      </c>
      <c r="D3" s="12" t="s">
        <v>132</v>
      </c>
      <c r="E3" s="12" t="n">
        <v>1.04</v>
      </c>
    </row>
    <row r="4" customFormat="false" ht="15" hidden="false" customHeight="false" outlineLevel="0" collapsed="false">
      <c r="A4" s="12" t="s">
        <v>133</v>
      </c>
      <c r="B4" s="12" t="n">
        <v>3979</v>
      </c>
      <c r="C4" s="12" t="n">
        <v>7945</v>
      </c>
      <c r="D4" s="12" t="s">
        <v>134</v>
      </c>
      <c r="E4" s="12" t="n">
        <v>1.09</v>
      </c>
    </row>
    <row r="5" customFormat="false" ht="15" hidden="false" customHeight="false" outlineLevel="0" collapsed="false">
      <c r="A5" s="12" t="s">
        <v>135</v>
      </c>
      <c r="B5" s="12" t="n">
        <v>2623</v>
      </c>
      <c r="C5" s="12" t="n">
        <v>6154</v>
      </c>
      <c r="D5" s="12" t="s">
        <v>136</v>
      </c>
      <c r="E5" s="12" t="n">
        <v>1.12</v>
      </c>
    </row>
    <row r="6" customFormat="false" ht="15" hidden="false" customHeight="false" outlineLevel="0" collapsed="false">
      <c r="A6" s="12" t="s">
        <v>137</v>
      </c>
      <c r="B6" s="12" t="n">
        <v>1140</v>
      </c>
      <c r="C6" s="12" t="n">
        <v>4257</v>
      </c>
      <c r="D6" s="12" t="s">
        <v>138</v>
      </c>
      <c r="E6" s="12" t="n">
        <v>1.55</v>
      </c>
    </row>
    <row r="7" customFormat="false" ht="15" hidden="false" customHeight="false" outlineLevel="0" collapsed="false">
      <c r="A7" s="12" t="s">
        <v>139</v>
      </c>
      <c r="B7" s="12" t="n">
        <v>1076</v>
      </c>
      <c r="C7" s="12" t="n">
        <v>2563</v>
      </c>
      <c r="D7" s="12" t="s">
        <v>140</v>
      </c>
      <c r="E7" s="12" t="n">
        <v>1.13</v>
      </c>
    </row>
    <row r="8" customFormat="false" ht="15" hidden="false" customHeight="false" outlineLevel="0" collapsed="false">
      <c r="A8" s="12" t="s">
        <v>141</v>
      </c>
      <c r="B8" s="12" t="n">
        <v>711</v>
      </c>
      <c r="C8" s="12" t="n">
        <v>1748</v>
      </c>
      <c r="D8" s="12" t="s">
        <v>142</v>
      </c>
      <c r="E8" s="12" t="n">
        <v>1.04</v>
      </c>
    </row>
    <row r="9" customFormat="false" ht="15" hidden="false" customHeight="false" outlineLevel="0" collapsed="false">
      <c r="A9" s="12" t="s">
        <v>143</v>
      </c>
      <c r="B9" s="12" t="n">
        <v>706</v>
      </c>
      <c r="C9" s="12" t="n">
        <v>2768</v>
      </c>
      <c r="D9" s="12" t="s">
        <v>144</v>
      </c>
      <c r="E9" s="12" t="n">
        <v>1.23</v>
      </c>
    </row>
    <row r="10" customFormat="false" ht="15" hidden="false" customHeight="false" outlineLevel="0" collapsed="false">
      <c r="A10" s="12" t="s">
        <v>145</v>
      </c>
      <c r="B10" s="12" t="n">
        <v>404</v>
      </c>
      <c r="C10" s="12" t="n">
        <v>1043</v>
      </c>
      <c r="D10" s="12" t="s">
        <v>146</v>
      </c>
      <c r="E10" s="12" t="n">
        <v>1.5</v>
      </c>
    </row>
    <row r="11" customFormat="false" ht="15" hidden="false" customHeight="false" outlineLevel="0" collapsed="false">
      <c r="A11" s="12" t="s">
        <v>147</v>
      </c>
      <c r="B11" s="12" t="n">
        <v>392</v>
      </c>
      <c r="C11" s="12" t="n">
        <v>1441</v>
      </c>
      <c r="D11" s="12" t="s">
        <v>148</v>
      </c>
      <c r="E11" s="12" t="n">
        <v>1.09</v>
      </c>
    </row>
    <row r="12" customFormat="false" ht="15" hidden="false" customHeight="false" outlineLevel="0" collapsed="false">
      <c r="A12" s="12" t="s">
        <v>149</v>
      </c>
      <c r="B12" s="12" t="n">
        <v>391</v>
      </c>
      <c r="C12" s="12" t="n">
        <v>669</v>
      </c>
      <c r="D12" s="12" t="s">
        <v>150</v>
      </c>
      <c r="E12" s="12" t="n">
        <v>1.14</v>
      </c>
    </row>
    <row r="13" customFormat="false" ht="15" hidden="false" customHeight="false" outlineLevel="0" collapsed="false">
      <c r="A13" s="12" t="s">
        <v>151</v>
      </c>
      <c r="B13" s="12" t="n">
        <v>359</v>
      </c>
      <c r="C13" s="12" t="n">
        <v>1515</v>
      </c>
      <c r="D13" s="12" t="s">
        <v>152</v>
      </c>
      <c r="E13" s="12" t="n">
        <v>1.39</v>
      </c>
    </row>
    <row r="14" customFormat="false" ht="15" hidden="false" customHeight="false" outlineLevel="0" collapsed="false">
      <c r="A14" s="12" t="s">
        <v>153</v>
      </c>
      <c r="B14" s="12" t="n">
        <v>353</v>
      </c>
      <c r="C14" s="12" t="n">
        <v>2321</v>
      </c>
      <c r="D14" s="12" t="s">
        <v>154</v>
      </c>
      <c r="E14" s="12" t="n">
        <v>5.91</v>
      </c>
    </row>
    <row r="15" customFormat="false" ht="15" hidden="false" customHeight="false" outlineLevel="0" collapsed="false">
      <c r="A15" s="12" t="s">
        <v>155</v>
      </c>
      <c r="B15" s="12" t="n">
        <v>295</v>
      </c>
      <c r="C15" s="12" t="n">
        <v>942</v>
      </c>
      <c r="D15" s="12" t="s">
        <v>156</v>
      </c>
      <c r="E15" s="12" t="n">
        <v>3.48</v>
      </c>
    </row>
    <row r="16" customFormat="false" ht="15" hidden="false" customHeight="false" outlineLevel="0" collapsed="false">
      <c r="A16" s="12" t="s">
        <v>157</v>
      </c>
      <c r="B16" s="12" t="n">
        <v>289</v>
      </c>
      <c r="C16" s="12" t="n">
        <v>805</v>
      </c>
      <c r="D16" s="12" t="s">
        <v>158</v>
      </c>
      <c r="E16" s="12" t="n">
        <v>1.11</v>
      </c>
    </row>
    <row r="17" customFormat="false" ht="15" hidden="false" customHeight="false" outlineLevel="0" collapsed="false">
      <c r="A17" s="12" t="s">
        <v>159</v>
      </c>
      <c r="B17" s="12" t="n">
        <v>281</v>
      </c>
      <c r="C17" s="12" t="n">
        <v>763</v>
      </c>
      <c r="D17" s="12" t="s">
        <v>160</v>
      </c>
      <c r="E17" s="12" t="n">
        <v>1.05</v>
      </c>
    </row>
    <row r="18" customFormat="false" ht="15" hidden="false" customHeight="false" outlineLevel="0" collapsed="false">
      <c r="A18" s="12" t="s">
        <v>161</v>
      </c>
      <c r="B18" s="12" t="n">
        <v>265</v>
      </c>
      <c r="C18" s="12" t="n">
        <v>843</v>
      </c>
      <c r="D18" s="12" t="s">
        <v>162</v>
      </c>
      <c r="E18" s="12" t="n">
        <v>1.44</v>
      </c>
    </row>
    <row r="19" customFormat="false" ht="15" hidden="false" customHeight="false" outlineLevel="0" collapsed="false">
      <c r="A19" s="12" t="s">
        <v>163</v>
      </c>
      <c r="B19" s="12" t="n">
        <v>263</v>
      </c>
      <c r="C19" s="12" t="n">
        <v>1022</v>
      </c>
      <c r="D19" s="12" t="s">
        <v>164</v>
      </c>
      <c r="E19" s="12" t="n">
        <v>1.63</v>
      </c>
    </row>
    <row r="20" customFormat="false" ht="15" hidden="false" customHeight="false" outlineLevel="0" collapsed="false">
      <c r="A20" s="12" t="s">
        <v>165</v>
      </c>
      <c r="B20" s="12" t="n">
        <v>259</v>
      </c>
      <c r="C20" s="12" t="n">
        <v>592</v>
      </c>
      <c r="D20" s="12" t="s">
        <v>166</v>
      </c>
      <c r="E20" s="12" t="n">
        <v>1.17</v>
      </c>
    </row>
    <row r="21" customFormat="false" ht="15" hidden="false" customHeight="false" outlineLevel="0" collapsed="false">
      <c r="A21" s="12" t="s">
        <v>167</v>
      </c>
      <c r="B21" s="12" t="n">
        <v>251</v>
      </c>
      <c r="C21" s="12" t="n">
        <v>987</v>
      </c>
      <c r="D21" s="12" t="s">
        <v>168</v>
      </c>
      <c r="E21" s="12" t="n">
        <v>2.38</v>
      </c>
    </row>
    <row r="22" customFormat="false" ht="15" hidden="false" customHeight="false" outlineLevel="0" collapsed="false">
      <c r="A22" s="12" t="s">
        <v>169</v>
      </c>
      <c r="B22" s="12" t="n">
        <v>234</v>
      </c>
      <c r="C22" s="12" t="n">
        <v>1681</v>
      </c>
      <c r="D22" s="12" t="s">
        <v>170</v>
      </c>
      <c r="E22" s="12" t="n">
        <v>5.11</v>
      </c>
    </row>
    <row r="23" customFormat="false" ht="15" hidden="false" customHeight="false" outlineLevel="0" collapsed="false">
      <c r="A23" s="12" t="s">
        <v>171</v>
      </c>
      <c r="B23" s="12" t="n">
        <v>230</v>
      </c>
      <c r="C23" s="12" t="n">
        <v>739</v>
      </c>
      <c r="D23" s="12" t="s">
        <v>172</v>
      </c>
      <c r="E23" s="12" t="n">
        <v>1.4</v>
      </c>
    </row>
    <row r="24" customFormat="false" ht="15" hidden="false" customHeight="false" outlineLevel="0" collapsed="false">
      <c r="A24" s="12" t="s">
        <v>173</v>
      </c>
      <c r="B24" s="12" t="n">
        <v>224</v>
      </c>
      <c r="C24" s="12" t="n">
        <v>562</v>
      </c>
      <c r="D24" s="12" t="s">
        <v>174</v>
      </c>
      <c r="E24" s="12" t="n">
        <v>1.17</v>
      </c>
    </row>
    <row r="25" customFormat="false" ht="15" hidden="false" customHeight="false" outlineLevel="0" collapsed="false">
      <c r="A25" s="12" t="s">
        <v>175</v>
      </c>
      <c r="B25" s="12" t="n">
        <v>218</v>
      </c>
      <c r="C25" s="12" t="n">
        <v>690</v>
      </c>
      <c r="D25" s="12" t="s">
        <v>176</v>
      </c>
      <c r="E25" s="12" t="n">
        <v>1.39</v>
      </c>
    </row>
    <row r="26" customFormat="false" ht="15" hidden="false" customHeight="false" outlineLevel="0" collapsed="false">
      <c r="A26" s="12" t="s">
        <v>177</v>
      </c>
      <c r="B26" s="12" t="n">
        <v>214</v>
      </c>
      <c r="C26" s="12" t="n">
        <v>768</v>
      </c>
      <c r="D26" s="12" t="s">
        <v>178</v>
      </c>
      <c r="E26" s="12" t="n">
        <v>1.22</v>
      </c>
    </row>
    <row r="27" customFormat="false" ht="15" hidden="false" customHeight="false" outlineLevel="0" collapsed="false">
      <c r="A27" s="12" t="s">
        <v>179</v>
      </c>
      <c r="B27" s="12" t="n">
        <v>210</v>
      </c>
      <c r="C27" s="12" t="n">
        <v>1138</v>
      </c>
      <c r="D27" s="12" t="s">
        <v>180</v>
      </c>
      <c r="E27" s="12" t="n">
        <v>2.01</v>
      </c>
    </row>
    <row r="28" customFormat="false" ht="15" hidden="false" customHeight="false" outlineLevel="0" collapsed="false">
      <c r="A28" s="12" t="s">
        <v>181</v>
      </c>
      <c r="B28" s="12" t="n">
        <v>206</v>
      </c>
      <c r="C28" s="12" t="n">
        <v>556</v>
      </c>
      <c r="D28" s="12" t="s">
        <v>182</v>
      </c>
      <c r="E28" s="12" t="n">
        <v>1.04</v>
      </c>
    </row>
    <row r="29" customFormat="false" ht="15" hidden="false" customHeight="false" outlineLevel="0" collapsed="false">
      <c r="A29" s="12" t="s">
        <v>183</v>
      </c>
      <c r="B29" s="12" t="n">
        <v>201</v>
      </c>
      <c r="C29" s="12" t="n">
        <v>469</v>
      </c>
      <c r="D29" s="12" t="s">
        <v>184</v>
      </c>
      <c r="E29" s="12" t="n">
        <v>1.23</v>
      </c>
    </row>
    <row r="30" customFormat="false" ht="15" hidden="false" customHeight="false" outlineLevel="0" collapsed="false">
      <c r="A30" s="12" t="s">
        <v>185</v>
      </c>
      <c r="B30" s="12" t="n">
        <v>185</v>
      </c>
      <c r="C30" s="12" t="n">
        <v>704</v>
      </c>
      <c r="D30" s="12" t="s">
        <v>186</v>
      </c>
      <c r="E30" s="12" t="n">
        <v>1.36</v>
      </c>
    </row>
    <row r="31" customFormat="false" ht="15" hidden="false" customHeight="false" outlineLevel="0" collapsed="false">
      <c r="A31" s="12" t="s">
        <v>187</v>
      </c>
      <c r="B31" s="12" t="n">
        <v>183</v>
      </c>
      <c r="C31" s="12" t="n">
        <v>481</v>
      </c>
      <c r="D31" s="12" t="s">
        <v>188</v>
      </c>
      <c r="E31" s="12" t="n">
        <v>1.21</v>
      </c>
    </row>
    <row r="32" customFormat="false" ht="15" hidden="false" customHeight="false" outlineLevel="0" collapsed="false">
      <c r="A32" s="12" t="s">
        <v>189</v>
      </c>
      <c r="B32" s="12" t="n">
        <v>175</v>
      </c>
      <c r="C32" s="12" t="n">
        <v>834</v>
      </c>
      <c r="D32" s="12" t="s">
        <v>190</v>
      </c>
      <c r="E32" s="12" t="n">
        <v>3.26</v>
      </c>
    </row>
    <row r="33" customFormat="false" ht="15" hidden="false" customHeight="false" outlineLevel="0" collapsed="false">
      <c r="A33" s="12" t="s">
        <v>191</v>
      </c>
      <c r="B33" s="12" t="n">
        <v>169</v>
      </c>
      <c r="C33" s="12" t="n">
        <v>448</v>
      </c>
      <c r="D33" s="12" t="s">
        <v>192</v>
      </c>
      <c r="E33" s="12" t="n">
        <v>1.27</v>
      </c>
    </row>
    <row r="34" customFormat="false" ht="15" hidden="false" customHeight="false" outlineLevel="0" collapsed="false">
      <c r="A34" s="12" t="s">
        <v>193</v>
      </c>
      <c r="B34" s="12" t="n">
        <v>160</v>
      </c>
      <c r="C34" s="12" t="n">
        <v>304</v>
      </c>
      <c r="D34" s="12" t="s">
        <v>194</v>
      </c>
      <c r="E34" s="12" t="n">
        <v>1.36</v>
      </c>
    </row>
    <row r="35" customFormat="false" ht="15" hidden="false" customHeight="false" outlineLevel="0" collapsed="false">
      <c r="A35" s="12" t="s">
        <v>195</v>
      </c>
      <c r="B35" s="12" t="n">
        <v>148</v>
      </c>
      <c r="C35" s="12" t="n">
        <v>622</v>
      </c>
      <c r="D35" s="12" t="s">
        <v>196</v>
      </c>
      <c r="E35" s="12" t="n">
        <v>3.11</v>
      </c>
    </row>
    <row r="36" customFormat="false" ht="15" hidden="false" customHeight="false" outlineLevel="0" collapsed="false">
      <c r="A36" s="12" t="s">
        <v>197</v>
      </c>
      <c r="B36" s="12" t="n">
        <v>147</v>
      </c>
      <c r="C36" s="12" t="n">
        <v>328</v>
      </c>
      <c r="D36" s="12" t="s">
        <v>198</v>
      </c>
      <c r="E36" s="12" t="n">
        <v>1.47</v>
      </c>
    </row>
    <row r="37" customFormat="false" ht="15" hidden="false" customHeight="false" outlineLevel="0" collapsed="false">
      <c r="A37" s="12" t="s">
        <v>199</v>
      </c>
      <c r="B37" s="12" t="n">
        <v>140</v>
      </c>
      <c r="C37" s="12" t="n">
        <v>346</v>
      </c>
      <c r="D37" s="12" t="s">
        <v>200</v>
      </c>
      <c r="E37" s="12" t="n">
        <v>1.01</v>
      </c>
    </row>
    <row r="38" customFormat="false" ht="15" hidden="false" customHeight="false" outlineLevel="0" collapsed="false">
      <c r="A38" s="12" t="s">
        <v>201</v>
      </c>
      <c r="B38" s="12" t="n">
        <v>133</v>
      </c>
      <c r="C38" s="12" t="n">
        <v>282</v>
      </c>
      <c r="D38" s="12" t="s">
        <v>202</v>
      </c>
      <c r="E38" s="12" t="n">
        <v>1.02</v>
      </c>
    </row>
    <row r="39" customFormat="false" ht="15" hidden="false" customHeight="false" outlineLevel="0" collapsed="false">
      <c r="A39" s="12" t="s">
        <v>203</v>
      </c>
      <c r="B39" s="12" t="n">
        <v>130</v>
      </c>
      <c r="C39" s="12" t="n">
        <v>305</v>
      </c>
      <c r="D39" s="12" t="s">
        <v>136</v>
      </c>
      <c r="E39" s="12" t="n">
        <v>1.06</v>
      </c>
    </row>
    <row r="40" customFormat="false" ht="15" hidden="false" customHeight="false" outlineLevel="0" collapsed="false">
      <c r="A40" s="12" t="s">
        <v>102</v>
      </c>
      <c r="B40" s="12" t="n">
        <v>124</v>
      </c>
      <c r="C40" s="12" t="n">
        <v>6410</v>
      </c>
      <c r="D40" s="12" t="s">
        <v>204</v>
      </c>
      <c r="E40" s="12" t="n">
        <v>10.88</v>
      </c>
    </row>
    <row r="41" customFormat="false" ht="15" hidden="false" customHeight="false" outlineLevel="0" collapsed="false">
      <c r="A41" s="12" t="s">
        <v>205</v>
      </c>
      <c r="B41" s="12" t="n">
        <v>124</v>
      </c>
      <c r="C41" s="12" t="n">
        <v>980</v>
      </c>
      <c r="D41" s="12" t="s">
        <v>206</v>
      </c>
      <c r="E41" s="12" t="n">
        <v>7.22</v>
      </c>
    </row>
    <row r="42" customFormat="false" ht="15" hidden="false" customHeight="false" outlineLevel="0" collapsed="false">
      <c r="A42" s="12" t="s">
        <v>207</v>
      </c>
      <c r="B42" s="12" t="n">
        <v>118</v>
      </c>
      <c r="C42" s="12" t="n">
        <v>642</v>
      </c>
      <c r="D42" s="12" t="s">
        <v>208</v>
      </c>
      <c r="E42" s="12" t="n">
        <v>1.2</v>
      </c>
    </row>
    <row r="43" customFormat="false" ht="15" hidden="false" customHeight="false" outlineLevel="0" collapsed="false">
      <c r="A43" s="12" t="s">
        <v>209</v>
      </c>
      <c r="B43" s="12" t="n">
        <v>112</v>
      </c>
      <c r="C43" s="12" t="n">
        <v>580</v>
      </c>
      <c r="D43" s="12" t="s">
        <v>210</v>
      </c>
      <c r="E43" s="12" t="n">
        <v>1.53</v>
      </c>
    </row>
    <row r="44" customFormat="false" ht="15" hidden="false" customHeight="false" outlineLevel="0" collapsed="false">
      <c r="A44" s="12" t="s">
        <v>211</v>
      </c>
      <c r="B44" s="12" t="n">
        <v>107</v>
      </c>
      <c r="C44" s="12" t="n">
        <v>351</v>
      </c>
      <c r="D44" s="12" t="s">
        <v>212</v>
      </c>
      <c r="E44" s="12" t="n">
        <v>1.13</v>
      </c>
    </row>
    <row r="45" customFormat="false" ht="15" hidden="false" customHeight="false" outlineLevel="0" collapsed="false">
      <c r="A45" s="12" t="s">
        <v>213</v>
      </c>
      <c r="B45" s="12" t="n">
        <v>102</v>
      </c>
      <c r="C45" s="12" t="n">
        <v>262</v>
      </c>
      <c r="D45" s="12" t="s">
        <v>214</v>
      </c>
      <c r="E45" s="12" t="n">
        <v>1.42</v>
      </c>
    </row>
    <row r="46" customFormat="false" ht="15" hidden="false" customHeight="false" outlineLevel="0" collapsed="false">
      <c r="A46" s="12" t="s">
        <v>215</v>
      </c>
      <c r="B46" s="12" t="n">
        <v>96</v>
      </c>
      <c r="C46" s="12" t="n">
        <v>312</v>
      </c>
      <c r="D46" s="12" t="s">
        <v>216</v>
      </c>
      <c r="E46" s="12" t="n">
        <v>1.05</v>
      </c>
    </row>
    <row r="47" customFormat="false" ht="15" hidden="false" customHeight="false" outlineLevel="0" collapsed="false">
      <c r="A47" s="12" t="s">
        <v>217</v>
      </c>
      <c r="B47" s="12" t="n">
        <v>92</v>
      </c>
      <c r="C47" s="12" t="n">
        <v>519</v>
      </c>
      <c r="D47" s="12" t="s">
        <v>218</v>
      </c>
      <c r="E47" s="12" t="n">
        <v>5.66</v>
      </c>
    </row>
    <row r="48" customFormat="false" ht="15" hidden="false" customHeight="false" outlineLevel="0" collapsed="false">
      <c r="A48" s="12" t="s">
        <v>219</v>
      </c>
      <c r="B48" s="12" t="n">
        <v>91</v>
      </c>
      <c r="C48" s="12" t="n">
        <v>1667</v>
      </c>
      <c r="D48" s="12" t="s">
        <v>220</v>
      </c>
      <c r="E48" s="12" t="n">
        <v>16.27</v>
      </c>
    </row>
    <row r="49" customFormat="false" ht="15" hidden="false" customHeight="false" outlineLevel="0" collapsed="false">
      <c r="A49" s="12" t="s">
        <v>221</v>
      </c>
      <c r="B49" s="12" t="n">
        <v>90</v>
      </c>
      <c r="C49" s="12" t="n">
        <v>928</v>
      </c>
      <c r="D49" s="12" t="s">
        <v>222</v>
      </c>
      <c r="E49" s="12" t="n">
        <v>2.16</v>
      </c>
    </row>
    <row r="50" customFormat="false" ht="15" hidden="false" customHeight="false" outlineLevel="0" collapsed="false">
      <c r="A50" s="12" t="s">
        <v>223</v>
      </c>
      <c r="B50" s="12" t="n">
        <v>89</v>
      </c>
      <c r="C50" s="12" t="n">
        <v>409</v>
      </c>
      <c r="D50" s="12" t="s">
        <v>224</v>
      </c>
      <c r="E50" s="12" t="n">
        <v>1.74</v>
      </c>
    </row>
    <row r="51" customFormat="false" ht="15" hidden="false" customHeight="false" outlineLevel="0" collapsed="false">
      <c r="A51" s="12" t="s">
        <v>225</v>
      </c>
      <c r="B51" s="12" t="n">
        <v>88</v>
      </c>
      <c r="C51" s="12" t="n">
        <v>527</v>
      </c>
      <c r="D51" s="12" t="s">
        <v>226</v>
      </c>
      <c r="E51" s="12" t="n">
        <v>3.41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2026-03-17T06:11:54Z</dcterms:created>
  <dc:creator>openpyxl</dc:creator>
  <dc:description/>
  <dc:language>en-US</dc:language>
  <cp:lastModifiedBy/>
  <dcterms:modified xsi:type="dcterms:W3CDTF">2026-03-17T06:11:54Z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